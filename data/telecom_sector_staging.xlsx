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mul\OneDrive\Desktop\sql\"/>
    </mc:Choice>
  </mc:AlternateContent>
  <xr:revisionPtr revIDLastSave="0" documentId="13_ncr:1_{DDD779DD-0303-4D83-B5FC-B4C0863FB8C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ome_Statement" sheetId="2" r:id="rId1"/>
    <sheet name="Balance_Sheet" sheetId="3" r:id="rId2"/>
    <sheet name="Cash_Flo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4" l="1"/>
  <c r="G26" i="4"/>
  <c r="G25" i="4"/>
  <c r="G24" i="4"/>
  <c r="G23" i="4"/>
  <c r="G22" i="4"/>
  <c r="E26" i="3"/>
  <c r="E25" i="3"/>
  <c r="E24" i="3"/>
  <c r="E23" i="3"/>
  <c r="E22" i="3"/>
  <c r="I26" i="2"/>
  <c r="I25" i="2"/>
  <c r="I24" i="2"/>
  <c r="I23" i="2"/>
  <c r="I22" i="2"/>
  <c r="E26" i="2"/>
  <c r="E25" i="2"/>
  <c r="E24" i="2"/>
  <c r="E23" i="2"/>
  <c r="E22" i="2"/>
  <c r="G20" i="4"/>
  <c r="G19" i="4"/>
  <c r="G18" i="4"/>
  <c r="G17" i="4"/>
  <c r="E21" i="3"/>
  <c r="E20" i="3"/>
  <c r="E19" i="3"/>
  <c r="E18" i="3"/>
  <c r="E17" i="3"/>
  <c r="I21" i="2"/>
  <c r="I20" i="2"/>
  <c r="I19" i="2"/>
  <c r="I18" i="2"/>
  <c r="I17" i="2"/>
  <c r="E21" i="2"/>
  <c r="E20" i="2"/>
  <c r="E19" i="2"/>
  <c r="E18" i="2"/>
  <c r="E17" i="2"/>
  <c r="G16" i="4"/>
  <c r="G15" i="4"/>
  <c r="G14" i="4"/>
  <c r="G13" i="4"/>
  <c r="G12" i="4"/>
  <c r="E16" i="3"/>
  <c r="E15" i="3"/>
  <c r="E14" i="3"/>
  <c r="E13" i="3"/>
  <c r="E12" i="3"/>
  <c r="I16" i="2"/>
  <c r="I15" i="2"/>
  <c r="I14" i="2"/>
  <c r="I13" i="2"/>
  <c r="I12" i="2"/>
  <c r="E16" i="2"/>
  <c r="E15" i="2"/>
  <c r="E14" i="2"/>
  <c r="E13" i="2"/>
  <c r="E12" i="2"/>
  <c r="G11" i="4"/>
  <c r="G10" i="4"/>
  <c r="G9" i="4"/>
  <c r="G8" i="4"/>
  <c r="G7" i="4"/>
  <c r="E11" i="3"/>
  <c r="E10" i="3"/>
  <c r="E9" i="3"/>
  <c r="E8" i="3"/>
  <c r="E7" i="3"/>
  <c r="I11" i="2"/>
  <c r="I10" i="2"/>
  <c r="I9" i="2"/>
  <c r="I8" i="2"/>
  <c r="I7" i="2"/>
  <c r="E11" i="2"/>
  <c r="E10" i="2"/>
  <c r="E9" i="2"/>
  <c r="E8" i="2"/>
  <c r="E7" i="2"/>
  <c r="G6" i="4"/>
  <c r="G5" i="4"/>
  <c r="G4" i="4"/>
  <c r="G3" i="4"/>
  <c r="G2" i="4"/>
  <c r="E6" i="3"/>
  <c r="E5" i="3"/>
  <c r="E4" i="3"/>
  <c r="E3" i="3"/>
  <c r="E2" i="3"/>
  <c r="I6" i="2"/>
  <c r="I5" i="2"/>
  <c r="I4" i="2"/>
  <c r="I3" i="2"/>
  <c r="I2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<sst xmlns="http://schemas.openxmlformats.org/spreadsheetml/2006/main" count="177" uniqueCount="27">
  <si>
    <t>company_name</t>
  </si>
  <si>
    <t>sector</t>
  </si>
  <si>
    <t>fiscal_year</t>
  </si>
  <si>
    <t>revenue</t>
  </si>
  <si>
    <t>ebitda</t>
  </si>
  <si>
    <t>ebit</t>
  </si>
  <si>
    <t>interest_expense</t>
  </si>
  <si>
    <t>depreciation</t>
  </si>
  <si>
    <t>net_profit</t>
  </si>
  <si>
    <t>total_assets</t>
  </si>
  <si>
    <t>total_equity</t>
  </si>
  <si>
    <t>total_debt</t>
  </si>
  <si>
    <t>current_assets</t>
  </si>
  <si>
    <t>current_liabilities</t>
  </si>
  <si>
    <t>inventory</t>
  </si>
  <si>
    <t>cash_and_equivalents</t>
  </si>
  <si>
    <t>cfo</t>
  </si>
  <si>
    <t>cfi</t>
  </si>
  <si>
    <t>cff</t>
  </si>
  <si>
    <t>tax (pbt-eat)</t>
  </si>
  <si>
    <t>capex(cfo-fcf)</t>
  </si>
  <si>
    <t>Bharti Airtel</t>
  </si>
  <si>
    <t>Vodafone Idea</t>
  </si>
  <si>
    <t>Tata Communications</t>
  </si>
  <si>
    <t>Indus Towers</t>
  </si>
  <si>
    <t>MTNL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</si>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</sst>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6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6" fillId="2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3" fontId="5" fillId="5" borderId="0" xfId="0" applyNumberFormat="1" applyFont="1" applyFill="1"/>
    <xf numFmtId="0" fontId="1" fillId="3" borderId="0" xfId="0" applyFont="1" applyFill="1"/>
    <xf numFmtId="0" fontId="3" fillId="5" borderId="0" xfId="0" applyFont="1" applyFill="1"/>
    <xf numFmtId="0" fontId="7" fillId="2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3" fontId="3" fillId="6" borderId="0" xfId="0" applyNumberFormat="1" applyFont="1" applyFill="1"/>
    <xf numFmtId="0" fontId="5" fillId="4" borderId="0" xfId="0" applyFont="1" applyFill="1"/>
    <xf numFmtId="0" fontId="8" fillId="4" borderId="0" xfId="0" applyFont="1" applyFill="1"/>
    <xf numFmtId="0" fontId="5" fillId="0" borderId="0" xfId="0" applyFont="1"/>
    <xf numFmtId="0" fontId="1" fillId="6" borderId="0" xfId="0" applyFont="1" applyFill="1"/>
    <xf numFmtId="0" fontId="8" fillId="9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topLeftCell="F1" zoomScale="77" zoomScaleNormal="77" workbookViewId="0">
      <pane ySplit="1" topLeftCell="A5" activePane="bottomLeft" state="frozen"/>
      <selection pane="bottomLeft" activeCell="I26" sqref="I26"/>
    </sheetView>
  </sheetViews>
  <sheetFormatPr defaultRowHeight="14.5" x14ac:dyDescent="0.35"/>
  <cols>
    <col min="1" max="1" width="22.26953125" customWidth="1"/>
    <col min="2" max="10" width="18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19</v>
      </c>
      <c r="J1" s="5" t="s">
        <v>8</v>
      </c>
    </row>
    <row r="2" spans="1:10" x14ac:dyDescent="0.35">
      <c r="A2" s="1" t="s">
        <v>21</v>
      </c>
      <c r="B2" s="18" t="s">
        <v>26</v>
      </c>
      <c r="C2" s="3">
        <v>2021</v>
      </c>
      <c r="D2" s="16">
        <v>100616</v>
      </c>
      <c r="E2" s="16">
        <f>(F2+H2)</f>
        <v>74683</v>
      </c>
      <c r="F2" s="16">
        <v>45279</v>
      </c>
      <c r="G2" s="16">
        <v>15091</v>
      </c>
      <c r="H2" s="16">
        <v>29404</v>
      </c>
      <c r="I2" s="16">
        <f>(-3432-J2)</f>
        <v>8932</v>
      </c>
      <c r="J2" s="6">
        <v>-12364</v>
      </c>
    </row>
    <row r="3" spans="1:10" x14ac:dyDescent="0.35">
      <c r="A3" s="1" t="s">
        <v>21</v>
      </c>
      <c r="B3" s="18" t="s">
        <v>26</v>
      </c>
      <c r="C3" s="3">
        <v>2022</v>
      </c>
      <c r="D3" s="7">
        <v>116547</v>
      </c>
      <c r="E3" s="16">
        <f t="shared" ref="E3:E26" si="0">(F3+H3)</f>
        <v>90625</v>
      </c>
      <c r="F3" s="7">
        <v>57534</v>
      </c>
      <c r="G3" s="7">
        <v>16616</v>
      </c>
      <c r="H3" s="17">
        <v>33091</v>
      </c>
      <c r="I3" s="7">
        <f>(12483-J3)</f>
        <v>4178</v>
      </c>
      <c r="J3" s="7">
        <v>8305</v>
      </c>
    </row>
    <row r="4" spans="1:10" x14ac:dyDescent="0.35">
      <c r="A4" s="1" t="s">
        <v>21</v>
      </c>
      <c r="B4" s="18" t="s">
        <v>26</v>
      </c>
      <c r="C4" s="3">
        <v>2023</v>
      </c>
      <c r="D4" s="7">
        <v>139145</v>
      </c>
      <c r="E4" s="16">
        <f t="shared" si="0"/>
        <v>107706</v>
      </c>
      <c r="F4" s="7">
        <v>71274</v>
      </c>
      <c r="G4" s="7">
        <v>19300</v>
      </c>
      <c r="H4" s="7">
        <v>36432</v>
      </c>
      <c r="I4" s="7">
        <f>(16561-J4)</f>
        <v>4274</v>
      </c>
      <c r="J4" s="7">
        <v>12287</v>
      </c>
    </row>
    <row r="5" spans="1:10" x14ac:dyDescent="0.35">
      <c r="A5" s="1" t="s">
        <v>21</v>
      </c>
      <c r="B5" s="18" t="s">
        <v>26</v>
      </c>
      <c r="C5" s="3">
        <v>2024</v>
      </c>
      <c r="D5" s="8">
        <v>149982</v>
      </c>
      <c r="E5" s="16">
        <f t="shared" si="0"/>
        <v>117431</v>
      </c>
      <c r="F5" s="7">
        <v>77893</v>
      </c>
      <c r="G5" s="7">
        <v>22648</v>
      </c>
      <c r="H5" s="7">
        <v>39538</v>
      </c>
      <c r="I5" s="7">
        <f>(12679-J5)</f>
        <v>4121</v>
      </c>
      <c r="J5" s="7">
        <v>8558</v>
      </c>
    </row>
    <row r="6" spans="1:10" x14ac:dyDescent="0.35">
      <c r="A6" s="1" t="s">
        <v>21</v>
      </c>
      <c r="B6" s="18" t="s">
        <v>26</v>
      </c>
      <c r="C6" s="3">
        <v>2025</v>
      </c>
      <c r="D6" s="7">
        <v>172985</v>
      </c>
      <c r="E6" s="16">
        <f t="shared" si="0"/>
        <v>130630</v>
      </c>
      <c r="F6" s="7">
        <v>85060</v>
      </c>
      <c r="G6" s="7">
        <v>21754</v>
      </c>
      <c r="H6" s="7">
        <v>45570</v>
      </c>
      <c r="I6" s="7">
        <f>(38398-J6)</f>
        <v>917</v>
      </c>
      <c r="J6" s="7">
        <v>37481</v>
      </c>
    </row>
    <row r="7" spans="1:10" x14ac:dyDescent="0.35">
      <c r="A7" s="1" t="s">
        <v>22</v>
      </c>
      <c r="B7" s="18" t="s">
        <v>26</v>
      </c>
      <c r="C7" s="3">
        <v>2021</v>
      </c>
      <c r="D7" s="4">
        <v>41952</v>
      </c>
      <c r="E7" s="4">
        <f t="shared" si="0"/>
        <v>40584</v>
      </c>
      <c r="F7" s="4">
        <v>16946</v>
      </c>
      <c r="G7" s="4">
        <v>17998</v>
      </c>
      <c r="H7" s="4">
        <v>23638</v>
      </c>
      <c r="I7" s="9">
        <f>(-44253-J7)</f>
        <v>-20</v>
      </c>
      <c r="J7" s="4">
        <v>-44233</v>
      </c>
    </row>
    <row r="8" spans="1:10" x14ac:dyDescent="0.35">
      <c r="A8" s="1" t="s">
        <v>22</v>
      </c>
      <c r="B8" s="18" t="s">
        <v>26</v>
      </c>
      <c r="C8" s="3">
        <v>2022</v>
      </c>
      <c r="D8" s="4">
        <v>38516</v>
      </c>
      <c r="E8" s="4">
        <f t="shared" si="0"/>
        <v>39552</v>
      </c>
      <c r="F8" s="4">
        <v>15968</v>
      </c>
      <c r="G8" s="4">
        <v>20981</v>
      </c>
      <c r="H8" s="4">
        <v>23584</v>
      </c>
      <c r="I8" s="4">
        <f>(-28234-J8)</f>
        <v>11</v>
      </c>
      <c r="J8" s="4">
        <v>-28245</v>
      </c>
    </row>
    <row r="9" spans="1:10" x14ac:dyDescent="0.35">
      <c r="A9" s="1" t="s">
        <v>22</v>
      </c>
      <c r="B9" s="18" t="s">
        <v>26</v>
      </c>
      <c r="C9" s="3">
        <v>2023</v>
      </c>
      <c r="D9" s="4">
        <v>42177</v>
      </c>
      <c r="E9" s="4">
        <f t="shared" si="0"/>
        <v>39803</v>
      </c>
      <c r="F9" s="4">
        <v>16753</v>
      </c>
      <c r="G9" s="4">
        <v>23354</v>
      </c>
      <c r="H9" s="4">
        <v>23050</v>
      </c>
      <c r="I9" s="4">
        <f>(-29298-J9)</f>
        <v>3</v>
      </c>
      <c r="J9" s="4">
        <v>-29301</v>
      </c>
    </row>
    <row r="10" spans="1:10" x14ac:dyDescent="0.35">
      <c r="A10" s="1" t="s">
        <v>22</v>
      </c>
      <c r="B10" s="18" t="s">
        <v>26</v>
      </c>
      <c r="C10" s="3">
        <v>2024</v>
      </c>
      <c r="D10" s="4">
        <v>42652</v>
      </c>
      <c r="E10" s="4">
        <f t="shared" si="0"/>
        <v>39706</v>
      </c>
      <c r="F10" s="4">
        <v>17072</v>
      </c>
      <c r="G10" s="4">
        <v>25766</v>
      </c>
      <c r="H10" s="4">
        <v>22634</v>
      </c>
      <c r="I10" s="4">
        <f>(-30410-J10)</f>
        <v>828</v>
      </c>
      <c r="J10" s="4">
        <v>-31238</v>
      </c>
    </row>
    <row r="11" spans="1:10" x14ac:dyDescent="0.35">
      <c r="A11" s="1" t="s">
        <v>22</v>
      </c>
      <c r="B11" s="18" t="s">
        <v>26</v>
      </c>
      <c r="C11" s="3">
        <v>2025</v>
      </c>
      <c r="D11" s="4">
        <v>43571</v>
      </c>
      <c r="E11" s="4">
        <f t="shared" si="0"/>
        <v>40022</v>
      </c>
      <c r="F11" s="4">
        <v>18049</v>
      </c>
      <c r="G11" s="4">
        <v>24543</v>
      </c>
      <c r="H11" s="4">
        <v>21973</v>
      </c>
      <c r="I11" s="4">
        <f>(-27368-J11)</f>
        <v>15</v>
      </c>
      <c r="J11" s="4">
        <v>-27383</v>
      </c>
    </row>
    <row r="12" spans="1:10" x14ac:dyDescent="0.35">
      <c r="A12" s="1" t="s">
        <v>23</v>
      </c>
      <c r="B12" s="18" t="s">
        <v>26</v>
      </c>
      <c r="C12" s="3">
        <v>2021</v>
      </c>
      <c r="D12" s="12">
        <v>17100</v>
      </c>
      <c r="E12" s="12">
        <f t="shared" si="0"/>
        <v>6575</v>
      </c>
      <c r="F12" s="12">
        <v>4261</v>
      </c>
      <c r="G12" s="12">
        <v>420</v>
      </c>
      <c r="H12" s="12">
        <v>2314</v>
      </c>
      <c r="I12" s="12">
        <f>(1609-J12)</f>
        <v>357</v>
      </c>
      <c r="J12" s="12">
        <v>1252</v>
      </c>
    </row>
    <row r="13" spans="1:10" x14ac:dyDescent="0.35">
      <c r="A13" s="1" t="s">
        <v>23</v>
      </c>
      <c r="B13" s="18" t="s">
        <v>26</v>
      </c>
      <c r="C13" s="3">
        <v>2022</v>
      </c>
      <c r="D13" s="12">
        <v>16725</v>
      </c>
      <c r="E13" s="12">
        <f t="shared" si="0"/>
        <v>6432</v>
      </c>
      <c r="F13" s="12">
        <v>4227</v>
      </c>
      <c r="G13" s="12">
        <v>360</v>
      </c>
      <c r="H13" s="12">
        <v>2205</v>
      </c>
      <c r="I13" s="12">
        <f>(2000-J13)</f>
        <v>515</v>
      </c>
      <c r="J13" s="12">
        <v>1485</v>
      </c>
    </row>
    <row r="14" spans="1:10" x14ac:dyDescent="0.35">
      <c r="A14" s="1" t="s">
        <v>23</v>
      </c>
      <c r="B14" s="18" t="s">
        <v>26</v>
      </c>
      <c r="C14" s="3">
        <v>2023</v>
      </c>
      <c r="D14" s="12">
        <v>17838</v>
      </c>
      <c r="E14" s="12">
        <f t="shared" si="0"/>
        <v>6580</v>
      </c>
      <c r="F14" s="12">
        <v>4318</v>
      </c>
      <c r="G14" s="12">
        <v>432</v>
      </c>
      <c r="H14" s="12">
        <v>2262</v>
      </c>
      <c r="I14" s="12">
        <f>(2063-J14)</f>
        <v>262</v>
      </c>
      <c r="J14" s="12">
        <v>1801</v>
      </c>
    </row>
    <row r="15" spans="1:10" x14ac:dyDescent="0.35">
      <c r="A15" s="1" t="s">
        <v>23</v>
      </c>
      <c r="B15" s="18" t="s">
        <v>26</v>
      </c>
      <c r="C15" s="3">
        <v>2024</v>
      </c>
      <c r="D15" s="12">
        <v>20969</v>
      </c>
      <c r="E15" s="12">
        <f t="shared" si="0"/>
        <v>6700</v>
      </c>
      <c r="F15" s="12">
        <v>4230</v>
      </c>
      <c r="G15" s="12">
        <v>644</v>
      </c>
      <c r="H15" s="12">
        <v>2470</v>
      </c>
      <c r="I15" s="12">
        <f>(1163-J15)</f>
        <v>193</v>
      </c>
      <c r="J15" s="12">
        <v>970</v>
      </c>
    </row>
    <row r="16" spans="1:10" x14ac:dyDescent="0.35">
      <c r="A16" s="1" t="s">
        <v>23</v>
      </c>
      <c r="B16" s="18" t="s">
        <v>26</v>
      </c>
      <c r="C16" s="3">
        <v>2025</v>
      </c>
      <c r="D16" s="12">
        <v>23109</v>
      </c>
      <c r="E16" s="12">
        <f t="shared" si="0"/>
        <v>7161</v>
      </c>
      <c r="F16" s="12">
        <v>4569</v>
      </c>
      <c r="G16" s="12">
        <v>729</v>
      </c>
      <c r="H16" s="12">
        <v>2592</v>
      </c>
      <c r="I16" s="12">
        <f>(2281-J16)</f>
        <v>444</v>
      </c>
      <c r="J16" s="12">
        <v>1837</v>
      </c>
    </row>
    <row r="17" spans="1:10" x14ac:dyDescent="0.35">
      <c r="A17" s="1" t="s">
        <v>24</v>
      </c>
      <c r="B17" s="18" t="s">
        <v>26</v>
      </c>
      <c r="C17" s="3">
        <v>2021</v>
      </c>
      <c r="D17" s="13">
        <v>13954</v>
      </c>
      <c r="E17" s="13">
        <f t="shared" si="0"/>
        <v>10027</v>
      </c>
      <c r="F17" s="13">
        <v>7179</v>
      </c>
      <c r="G17" s="13">
        <v>836</v>
      </c>
      <c r="H17" s="13">
        <v>2848</v>
      </c>
      <c r="I17" s="13">
        <f>(4757-J17)</f>
        <v>978</v>
      </c>
      <c r="J17" s="13">
        <v>3779</v>
      </c>
    </row>
    <row r="18" spans="1:10" x14ac:dyDescent="0.35">
      <c r="A18" s="1" t="s">
        <v>24</v>
      </c>
      <c r="B18" s="18" t="s">
        <v>26</v>
      </c>
      <c r="C18" s="3">
        <v>2022</v>
      </c>
      <c r="D18" s="13">
        <v>27717</v>
      </c>
      <c r="E18" s="13">
        <f t="shared" si="0"/>
        <v>20226</v>
      </c>
      <c r="F18" s="13">
        <v>14901</v>
      </c>
      <c r="G18" s="13">
        <v>1603</v>
      </c>
      <c r="H18" s="13">
        <v>5325</v>
      </c>
      <c r="I18" s="13">
        <f>(8431-J18)</f>
        <v>2058</v>
      </c>
      <c r="J18" s="13">
        <v>6373</v>
      </c>
    </row>
    <row r="19" spans="1:10" x14ac:dyDescent="0.35">
      <c r="A19" s="1" t="s">
        <v>24</v>
      </c>
      <c r="B19" s="18" t="s">
        <v>26</v>
      </c>
      <c r="C19" s="3">
        <v>2023</v>
      </c>
      <c r="D19" s="13">
        <v>28382</v>
      </c>
      <c r="E19" s="13">
        <f t="shared" si="0"/>
        <v>14993</v>
      </c>
      <c r="F19" s="13">
        <v>9669</v>
      </c>
      <c r="G19" s="13">
        <v>1670</v>
      </c>
      <c r="H19" s="13">
        <v>5324</v>
      </c>
      <c r="I19" s="13">
        <f>(2759-J19)</f>
        <v>719</v>
      </c>
      <c r="J19" s="13">
        <v>2040</v>
      </c>
    </row>
    <row r="20" spans="1:10" x14ac:dyDescent="0.35">
      <c r="A20" s="1" t="s">
        <v>24</v>
      </c>
      <c r="B20" s="18" t="s">
        <v>26</v>
      </c>
      <c r="C20" s="3">
        <v>2024</v>
      </c>
      <c r="D20" s="13">
        <v>28601</v>
      </c>
      <c r="E20" s="13">
        <f t="shared" si="0"/>
        <v>20617</v>
      </c>
      <c r="F20" s="13">
        <v>14557</v>
      </c>
      <c r="G20" s="13">
        <v>1864</v>
      </c>
      <c r="H20" s="13">
        <v>6060</v>
      </c>
      <c r="I20" s="13">
        <f>(8122-J20)</f>
        <v>2086</v>
      </c>
      <c r="J20" s="13">
        <v>6036</v>
      </c>
    </row>
    <row r="21" spans="1:10" x14ac:dyDescent="0.35">
      <c r="A21" s="1" t="s">
        <v>24</v>
      </c>
      <c r="B21" s="18" t="s">
        <v>26</v>
      </c>
      <c r="C21" s="3">
        <v>2025</v>
      </c>
      <c r="D21" s="13">
        <v>30123</v>
      </c>
      <c r="E21" s="13">
        <f t="shared" si="0"/>
        <v>27052</v>
      </c>
      <c r="F21" s="13">
        <v>20650</v>
      </c>
      <c r="G21" s="13">
        <v>1858</v>
      </c>
      <c r="H21" s="13">
        <v>6402</v>
      </c>
      <c r="I21" s="13">
        <f>(13154-J21)</f>
        <v>3222</v>
      </c>
      <c r="J21" s="13">
        <v>9932</v>
      </c>
    </row>
    <row r="22" spans="1:10" x14ac:dyDescent="0.35">
      <c r="A22" s="1" t="s">
        <v>25</v>
      </c>
      <c r="B22" s="18" t="s">
        <v>26</v>
      </c>
      <c r="C22" s="3">
        <v>2021</v>
      </c>
      <c r="D22" s="14">
        <v>1388</v>
      </c>
      <c r="E22" s="14">
        <f t="shared" si="0"/>
        <v>968</v>
      </c>
      <c r="F22" s="14">
        <v>75</v>
      </c>
      <c r="G22" s="14">
        <v>2117</v>
      </c>
      <c r="H22" s="14">
        <v>893</v>
      </c>
      <c r="I22" s="14">
        <f>(-2495-J22)</f>
        <v>-34</v>
      </c>
      <c r="J22" s="14">
        <v>-2461</v>
      </c>
    </row>
    <row r="23" spans="1:10" x14ac:dyDescent="0.35">
      <c r="A23" s="1" t="s">
        <v>25</v>
      </c>
      <c r="B23" s="18" t="s">
        <v>26</v>
      </c>
      <c r="C23" s="3">
        <v>2022</v>
      </c>
      <c r="D23" s="14">
        <v>1149</v>
      </c>
      <c r="E23" s="14">
        <f t="shared" si="0"/>
        <v>468</v>
      </c>
      <c r="F23" s="14">
        <v>-304</v>
      </c>
      <c r="G23" s="14">
        <v>2147</v>
      </c>
      <c r="H23" s="14">
        <v>772</v>
      </c>
      <c r="I23" s="14">
        <f>(-2600-J23)</f>
        <v>3</v>
      </c>
      <c r="J23" s="14">
        <v>-2603</v>
      </c>
    </row>
    <row r="24" spans="1:10" x14ac:dyDescent="0.35">
      <c r="A24" s="1" t="s">
        <v>25</v>
      </c>
      <c r="B24" s="18" t="s">
        <v>26</v>
      </c>
      <c r="C24" s="3">
        <v>2023</v>
      </c>
      <c r="D24" s="14">
        <v>935</v>
      </c>
      <c r="E24" s="14">
        <f t="shared" si="0"/>
        <v>296</v>
      </c>
      <c r="F24" s="14">
        <v>-434</v>
      </c>
      <c r="G24" s="14">
        <v>2364</v>
      </c>
      <c r="H24" s="14">
        <v>730</v>
      </c>
      <c r="I24" s="14">
        <f>(-2916-J24)</f>
        <v>-1</v>
      </c>
      <c r="J24" s="14">
        <v>-2915</v>
      </c>
    </row>
    <row r="25" spans="1:10" x14ac:dyDescent="0.35">
      <c r="A25" s="1" t="s">
        <v>25</v>
      </c>
      <c r="B25" s="18" t="s">
        <v>26</v>
      </c>
      <c r="C25" s="3">
        <v>2024</v>
      </c>
      <c r="D25" s="14">
        <v>799</v>
      </c>
      <c r="E25" s="14">
        <f t="shared" si="0"/>
        <v>184</v>
      </c>
      <c r="F25" s="14">
        <v>-482</v>
      </c>
      <c r="G25" s="14">
        <v>2694</v>
      </c>
      <c r="H25" s="14">
        <v>666</v>
      </c>
      <c r="I25" s="14">
        <f>(-3268-J25)</f>
        <v>0</v>
      </c>
      <c r="J25" s="14">
        <v>-3268</v>
      </c>
    </row>
    <row r="26" spans="1:10" x14ac:dyDescent="0.35">
      <c r="A26" s="1" t="s">
        <v>25</v>
      </c>
      <c r="B26" s="18" t="s">
        <v>26</v>
      </c>
      <c r="C26" s="3">
        <v>2025</v>
      </c>
      <c r="D26" s="14">
        <v>698</v>
      </c>
      <c r="E26" s="14">
        <f t="shared" si="0"/>
        <v>142</v>
      </c>
      <c r="F26" s="14">
        <v>-470</v>
      </c>
      <c r="G26" s="14">
        <v>2928</v>
      </c>
      <c r="H26" s="14">
        <v>612</v>
      </c>
      <c r="I26" s="14">
        <f>(-3328-J26)</f>
        <v>0</v>
      </c>
      <c r="J26" s="14">
        <v>-3328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F1" zoomScale="83" zoomScaleNormal="83" workbookViewId="0">
      <pane ySplit="1" topLeftCell="A5" activePane="bottomLeft" state="frozen"/>
      <selection pane="bottomLeft" activeCell="E26" sqref="E26"/>
    </sheetView>
  </sheetViews>
  <sheetFormatPr defaultRowHeight="14.5" x14ac:dyDescent="0.35"/>
  <cols>
    <col min="1" max="9" width="18" customWidth="1"/>
    <col min="10" max="10" width="25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x14ac:dyDescent="0.35">
      <c r="A2" s="1" t="s">
        <v>21</v>
      </c>
      <c r="B2" s="18" t="s">
        <v>26</v>
      </c>
      <c r="C2" s="3">
        <v>2021</v>
      </c>
      <c r="D2" s="6">
        <v>344417</v>
      </c>
      <c r="E2" s="6">
        <f>(2746+56207)</f>
        <v>58953</v>
      </c>
      <c r="F2" s="16">
        <v>162785</v>
      </c>
      <c r="G2" s="16">
        <v>87661</v>
      </c>
      <c r="H2" s="16">
        <v>122679</v>
      </c>
      <c r="I2" s="16">
        <v>266</v>
      </c>
      <c r="J2" s="16">
        <v>13466</v>
      </c>
    </row>
    <row r="3" spans="1:10" x14ac:dyDescent="0.35">
      <c r="A3" s="1" t="s">
        <v>21</v>
      </c>
      <c r="B3" s="18" t="s">
        <v>26</v>
      </c>
      <c r="C3" s="3">
        <v>2022</v>
      </c>
      <c r="D3" s="10">
        <v>361207</v>
      </c>
      <c r="E3" s="10">
        <f>(2795+63759)</f>
        <v>66554</v>
      </c>
      <c r="F3" s="10">
        <v>169678</v>
      </c>
      <c r="G3" s="10">
        <v>81820</v>
      </c>
      <c r="H3" s="10">
        <v>124975</v>
      </c>
      <c r="I3" s="10">
        <v>375</v>
      </c>
      <c r="J3" s="10">
        <v>13494</v>
      </c>
    </row>
    <row r="4" spans="1:10" x14ac:dyDescent="0.35">
      <c r="A4" s="1" t="s">
        <v>21</v>
      </c>
      <c r="B4" s="18" t="s">
        <v>26</v>
      </c>
      <c r="C4" s="3">
        <v>2023</v>
      </c>
      <c r="D4" s="10">
        <v>444557</v>
      </c>
      <c r="E4" s="10">
        <f>(2837+74726)</f>
        <v>77563</v>
      </c>
      <c r="F4" s="10">
        <v>226020</v>
      </c>
      <c r="G4" s="10">
        <v>84784</v>
      </c>
      <c r="H4" s="10">
        <v>140974</v>
      </c>
      <c r="I4" s="10">
        <v>258</v>
      </c>
      <c r="J4" s="10">
        <v>13419</v>
      </c>
    </row>
    <row r="5" spans="1:10" x14ac:dyDescent="0.35">
      <c r="A5" s="1" t="s">
        <v>21</v>
      </c>
      <c r="B5" s="18" t="s">
        <v>26</v>
      </c>
      <c r="C5" s="3">
        <v>2024</v>
      </c>
      <c r="D5" s="10">
        <v>442019</v>
      </c>
      <c r="E5" s="10">
        <f>(2877+79142)</f>
        <v>82019</v>
      </c>
      <c r="F5" s="10">
        <v>215592</v>
      </c>
      <c r="G5" s="10">
        <v>90210</v>
      </c>
      <c r="H5" s="10">
        <v>144408</v>
      </c>
      <c r="I5" s="10">
        <v>364</v>
      </c>
      <c r="J5" s="10">
        <v>16340</v>
      </c>
    </row>
    <row r="6" spans="1:10" x14ac:dyDescent="0.35">
      <c r="A6" s="1" t="s">
        <v>21</v>
      </c>
      <c r="B6" s="18" t="s">
        <v>26</v>
      </c>
      <c r="C6" s="3">
        <v>2025</v>
      </c>
      <c r="D6" s="10">
        <v>505006</v>
      </c>
      <c r="E6" s="10">
        <f>(2900+110772)</f>
        <v>113672</v>
      </c>
      <c r="F6" s="10">
        <v>213642</v>
      </c>
      <c r="G6" s="10">
        <v>99700</v>
      </c>
      <c r="H6" s="10">
        <v>177692</v>
      </c>
      <c r="I6" s="10">
        <v>452</v>
      </c>
      <c r="J6" s="10">
        <v>16720</v>
      </c>
    </row>
    <row r="7" spans="1:10" x14ac:dyDescent="0.35">
      <c r="A7" s="1" t="s">
        <v>22</v>
      </c>
      <c r="B7" s="18" t="s">
        <v>26</v>
      </c>
      <c r="C7" s="3">
        <v>2021</v>
      </c>
      <c r="D7" s="4">
        <v>203478</v>
      </c>
      <c r="E7" s="4">
        <f>(28735-66963)</f>
        <v>-38228</v>
      </c>
      <c r="F7" s="4">
        <v>201720</v>
      </c>
      <c r="G7" s="4">
        <v>35378</v>
      </c>
      <c r="H7" s="4">
        <v>39986</v>
      </c>
      <c r="I7" s="4">
        <v>1</v>
      </c>
      <c r="J7" s="4">
        <v>2216</v>
      </c>
    </row>
    <row r="8" spans="1:10" x14ac:dyDescent="0.35">
      <c r="A8" s="1" t="s">
        <v>22</v>
      </c>
      <c r="B8" s="18" t="s">
        <v>26</v>
      </c>
      <c r="C8" s="3">
        <v>2022</v>
      </c>
      <c r="D8" s="4">
        <v>194029</v>
      </c>
      <c r="E8" s="4">
        <f>(32119-94084)</f>
        <v>-61965</v>
      </c>
      <c r="F8" s="4">
        <v>213761</v>
      </c>
      <c r="G8" s="4">
        <v>36841</v>
      </c>
      <c r="H8" s="21">
        <v>42233</v>
      </c>
      <c r="I8" s="4">
        <v>2</v>
      </c>
      <c r="J8" s="4">
        <v>3497</v>
      </c>
    </row>
    <row r="9" spans="1:10" x14ac:dyDescent="0.35">
      <c r="A9" s="1" t="s">
        <v>22</v>
      </c>
      <c r="B9" s="18" t="s">
        <v>26</v>
      </c>
      <c r="C9" s="3">
        <v>2023</v>
      </c>
      <c r="D9" s="4">
        <v>207243</v>
      </c>
      <c r="E9" s="4">
        <f>(48680-123039)</f>
        <v>-74359</v>
      </c>
      <c r="F9" s="4">
        <v>237766</v>
      </c>
      <c r="G9" s="4">
        <v>33105</v>
      </c>
      <c r="H9" s="4">
        <v>43836</v>
      </c>
      <c r="I9" s="4">
        <v>16</v>
      </c>
      <c r="J9" s="4">
        <v>855</v>
      </c>
    </row>
    <row r="10" spans="1:10" x14ac:dyDescent="0.35">
      <c r="A10" s="1" t="s">
        <v>22</v>
      </c>
      <c r="B10" s="18" t="s">
        <v>26</v>
      </c>
      <c r="C10" s="3">
        <v>2024</v>
      </c>
      <c r="D10" s="4">
        <v>184997</v>
      </c>
      <c r="E10" s="4">
        <f>(50120-154287)</f>
        <v>-104167</v>
      </c>
      <c r="F10" s="4">
        <v>243809</v>
      </c>
      <c r="G10" s="4">
        <v>26683</v>
      </c>
      <c r="H10" s="4">
        <v>45355</v>
      </c>
      <c r="I10" s="4">
        <v>1</v>
      </c>
      <c r="J10" s="4">
        <v>536</v>
      </c>
    </row>
    <row r="11" spans="1:10" x14ac:dyDescent="0.35">
      <c r="A11" s="1" t="s">
        <v>22</v>
      </c>
      <c r="B11" s="18" t="s">
        <v>26</v>
      </c>
      <c r="C11" s="3">
        <v>2025</v>
      </c>
      <c r="D11" s="4">
        <v>197855</v>
      </c>
      <c r="E11" s="4">
        <f>(71393-141713)</f>
        <v>-70320</v>
      </c>
      <c r="F11" s="4">
        <v>233229</v>
      </c>
      <c r="G11" s="4">
        <v>38323</v>
      </c>
      <c r="H11" s="4">
        <v>34946</v>
      </c>
      <c r="I11" s="4">
        <v>1</v>
      </c>
      <c r="J11" s="4">
        <v>10568</v>
      </c>
    </row>
    <row r="12" spans="1:10" x14ac:dyDescent="0.35">
      <c r="A12" s="1" t="s">
        <v>23</v>
      </c>
      <c r="B12" s="18" t="s">
        <v>26</v>
      </c>
      <c r="C12" s="3">
        <v>2021</v>
      </c>
      <c r="D12" s="12">
        <v>21306</v>
      </c>
      <c r="E12" s="19">
        <f>(285-170)</f>
        <v>115</v>
      </c>
      <c r="F12" s="12">
        <v>11394</v>
      </c>
      <c r="G12" s="12">
        <v>7060</v>
      </c>
      <c r="H12" s="12">
        <v>9797</v>
      </c>
      <c r="I12" s="12">
        <v>34</v>
      </c>
      <c r="J12" s="12">
        <v>927</v>
      </c>
    </row>
    <row r="13" spans="1:10" x14ac:dyDescent="0.35">
      <c r="A13" s="1" t="s">
        <v>23</v>
      </c>
      <c r="B13" s="18" t="s">
        <v>26</v>
      </c>
      <c r="C13" s="3">
        <v>2022</v>
      </c>
      <c r="D13" s="12">
        <v>19638</v>
      </c>
      <c r="E13" s="12">
        <f>(285+643)</f>
        <v>928</v>
      </c>
      <c r="F13" s="12">
        <v>9122</v>
      </c>
      <c r="G13" s="12">
        <v>6284</v>
      </c>
      <c r="H13" s="12">
        <v>9588</v>
      </c>
      <c r="I13" s="12">
        <v>38</v>
      </c>
      <c r="J13" s="12">
        <v>743</v>
      </c>
    </row>
    <row r="14" spans="1:10" x14ac:dyDescent="0.35">
      <c r="A14" s="1" t="s">
        <v>23</v>
      </c>
      <c r="B14" s="18" t="s">
        <v>26</v>
      </c>
      <c r="C14" s="3">
        <v>2023</v>
      </c>
      <c r="D14" s="12">
        <v>20519</v>
      </c>
      <c r="E14" s="12">
        <f>(285+1233)</f>
        <v>1518</v>
      </c>
      <c r="F14" s="12">
        <v>8577</v>
      </c>
      <c r="G14" s="12">
        <v>6921</v>
      </c>
      <c r="H14" s="12">
        <v>10424</v>
      </c>
      <c r="I14" s="12">
        <v>160</v>
      </c>
      <c r="J14" s="12">
        <v>1063</v>
      </c>
    </row>
    <row r="15" spans="1:10" x14ac:dyDescent="0.35">
      <c r="A15" s="1" t="s">
        <v>23</v>
      </c>
      <c r="B15" s="18" t="s">
        <v>26</v>
      </c>
      <c r="C15" s="3">
        <v>2024</v>
      </c>
      <c r="D15" s="12">
        <v>24365</v>
      </c>
      <c r="E15" s="19">
        <f>(285+1501)</f>
        <v>1786</v>
      </c>
      <c r="F15" s="12">
        <v>11263</v>
      </c>
      <c r="G15" s="12">
        <v>7963</v>
      </c>
      <c r="H15" s="12">
        <v>11316</v>
      </c>
      <c r="I15" s="12">
        <v>84</v>
      </c>
      <c r="J15" s="12">
        <v>842</v>
      </c>
    </row>
    <row r="16" spans="1:10" x14ac:dyDescent="0.35">
      <c r="A16" s="1" t="s">
        <v>23</v>
      </c>
      <c r="B16" s="18" t="s">
        <v>26</v>
      </c>
      <c r="C16" s="3">
        <v>2025</v>
      </c>
      <c r="D16" s="12">
        <v>26444</v>
      </c>
      <c r="E16" s="12">
        <f>(285+2736)</f>
        <v>3021</v>
      </c>
      <c r="F16" s="12">
        <v>12357</v>
      </c>
      <c r="G16" s="12">
        <v>8711</v>
      </c>
      <c r="H16" s="12">
        <v>11065</v>
      </c>
      <c r="I16" s="12">
        <v>158</v>
      </c>
      <c r="J16" s="12">
        <v>587</v>
      </c>
    </row>
    <row r="17" spans="1:10" x14ac:dyDescent="0.35">
      <c r="A17" s="1" t="s">
        <v>24</v>
      </c>
      <c r="B17" s="18" t="s">
        <v>26</v>
      </c>
      <c r="C17" s="3">
        <v>2021</v>
      </c>
      <c r="D17" s="13">
        <v>44944</v>
      </c>
      <c r="E17" s="13">
        <f>(2695+13182)</f>
        <v>15877</v>
      </c>
      <c r="F17" s="13">
        <v>21576</v>
      </c>
      <c r="G17" s="13">
        <v>10598</v>
      </c>
      <c r="H17" s="13">
        <v>7491</v>
      </c>
      <c r="I17" s="13">
        <v>0</v>
      </c>
      <c r="J17" s="13">
        <v>14</v>
      </c>
    </row>
    <row r="18" spans="1:10" x14ac:dyDescent="0.35">
      <c r="A18" s="1" t="s">
        <v>24</v>
      </c>
      <c r="B18" s="18" t="s">
        <v>26</v>
      </c>
      <c r="C18" s="3">
        <v>2022</v>
      </c>
      <c r="D18" s="13">
        <v>47968</v>
      </c>
      <c r="E18" s="13">
        <f>(2695+19456)</f>
        <v>22151</v>
      </c>
      <c r="F18" s="13">
        <v>19726</v>
      </c>
      <c r="G18" s="13">
        <v>14311</v>
      </c>
      <c r="H18" s="13">
        <v>6091</v>
      </c>
      <c r="I18" s="13">
        <v>0</v>
      </c>
      <c r="J18" s="13">
        <v>980</v>
      </c>
    </row>
    <row r="19" spans="1:10" x14ac:dyDescent="0.35">
      <c r="A19" s="1" t="s">
        <v>24</v>
      </c>
      <c r="B19" s="18" t="s">
        <v>26</v>
      </c>
      <c r="C19" s="3">
        <v>2023</v>
      </c>
      <c r="D19" s="13">
        <v>46572</v>
      </c>
      <c r="E19" s="13">
        <f>(2695+18415)</f>
        <v>21110</v>
      </c>
      <c r="F19" s="13">
        <v>19185</v>
      </c>
      <c r="G19" s="13">
        <v>13559</v>
      </c>
      <c r="H19" s="13">
        <v>6278</v>
      </c>
      <c r="I19" s="13">
        <v>0</v>
      </c>
      <c r="J19" s="13">
        <v>22</v>
      </c>
    </row>
    <row r="20" spans="1:10" x14ac:dyDescent="0.35">
      <c r="A20" s="1" t="s">
        <v>24</v>
      </c>
      <c r="B20" s="18" t="s">
        <v>26</v>
      </c>
      <c r="C20" s="3">
        <v>2024</v>
      </c>
      <c r="D20" s="13">
        <v>55868</v>
      </c>
      <c r="E20" s="13">
        <f>(2695+24344)</f>
        <v>27039</v>
      </c>
      <c r="F20" s="13">
        <v>20531</v>
      </c>
      <c r="G20" s="13">
        <v>16143</v>
      </c>
      <c r="H20" s="13">
        <v>8298</v>
      </c>
      <c r="I20" s="13">
        <v>0</v>
      </c>
      <c r="J20" s="13">
        <v>63</v>
      </c>
    </row>
    <row r="21" spans="1:10" x14ac:dyDescent="0.35">
      <c r="A21" s="1" t="s">
        <v>24</v>
      </c>
      <c r="B21" s="18" t="s">
        <v>26</v>
      </c>
      <c r="C21" s="3">
        <v>2025</v>
      </c>
      <c r="D21" s="13">
        <v>63168</v>
      </c>
      <c r="E21" s="13">
        <f>(2638+29860)</f>
        <v>32498</v>
      </c>
      <c r="F21" s="13">
        <v>21156</v>
      </c>
      <c r="G21" s="13">
        <v>16735</v>
      </c>
      <c r="H21" s="13">
        <v>9514</v>
      </c>
      <c r="I21" s="13">
        <v>8</v>
      </c>
      <c r="J21" s="13">
        <v>1856</v>
      </c>
    </row>
    <row r="22" spans="1:10" x14ac:dyDescent="0.35">
      <c r="A22" s="1" t="s">
        <v>25</v>
      </c>
      <c r="B22" s="18" t="s">
        <v>26</v>
      </c>
      <c r="C22" s="3">
        <v>2021</v>
      </c>
      <c r="D22" s="14">
        <v>13400</v>
      </c>
      <c r="E22" s="14">
        <f>(630-16675)</f>
        <v>-16045</v>
      </c>
      <c r="F22" s="14">
        <v>25600</v>
      </c>
      <c r="G22" s="14">
        <v>6960</v>
      </c>
      <c r="H22" s="14">
        <v>3844</v>
      </c>
      <c r="I22" s="14">
        <v>34</v>
      </c>
      <c r="J22" s="14">
        <v>320</v>
      </c>
    </row>
    <row r="23" spans="1:10" x14ac:dyDescent="0.35">
      <c r="A23" s="1" t="s">
        <v>25</v>
      </c>
      <c r="B23" s="18" t="s">
        <v>26</v>
      </c>
      <c r="C23" s="3">
        <v>2022</v>
      </c>
      <c r="D23" s="14">
        <v>12342</v>
      </c>
      <c r="E23" s="14">
        <f>(630-19298)</f>
        <v>-18668</v>
      </c>
      <c r="F23" s="14">
        <v>26820</v>
      </c>
      <c r="G23" s="14">
        <v>6647</v>
      </c>
      <c r="H23" s="14">
        <v>4191</v>
      </c>
      <c r="I23" s="14">
        <v>33</v>
      </c>
      <c r="J23" s="14">
        <v>149</v>
      </c>
    </row>
    <row r="24" spans="1:10" x14ac:dyDescent="0.35">
      <c r="A24" s="1" t="s">
        <v>25</v>
      </c>
      <c r="B24" s="18" t="s">
        <v>26</v>
      </c>
      <c r="C24" s="3">
        <v>2023</v>
      </c>
      <c r="D24" s="14">
        <v>11672</v>
      </c>
      <c r="E24" s="14">
        <f>(630-21485)</f>
        <v>-20855</v>
      </c>
      <c r="F24" s="14">
        <v>28351</v>
      </c>
      <c r="G24" s="14">
        <v>6642</v>
      </c>
      <c r="H24" s="14">
        <v>4176</v>
      </c>
      <c r="I24" s="14">
        <v>33</v>
      </c>
      <c r="J24" s="14">
        <v>354</v>
      </c>
    </row>
    <row r="25" spans="1:10" x14ac:dyDescent="0.35">
      <c r="A25" s="1" t="s">
        <v>25</v>
      </c>
      <c r="B25" s="18" t="s">
        <v>26</v>
      </c>
      <c r="C25" s="3">
        <v>2024</v>
      </c>
      <c r="D25" s="14">
        <v>10745</v>
      </c>
      <c r="E25" s="14">
        <f>(630-24274)</f>
        <v>-23644</v>
      </c>
      <c r="F25" s="14">
        <v>30141</v>
      </c>
      <c r="G25" s="14">
        <v>6323</v>
      </c>
      <c r="H25" s="14">
        <v>4248</v>
      </c>
      <c r="I25" s="14">
        <v>34</v>
      </c>
      <c r="J25" s="14">
        <v>108</v>
      </c>
    </row>
    <row r="26" spans="1:10" x14ac:dyDescent="0.35">
      <c r="A26" s="1" t="s">
        <v>25</v>
      </c>
      <c r="B26" s="18" t="s">
        <v>26</v>
      </c>
      <c r="C26" s="3">
        <v>2025</v>
      </c>
      <c r="D26" s="14">
        <v>10253</v>
      </c>
      <c r="E26" s="14">
        <f>(630-27549)</f>
        <v>-26919</v>
      </c>
      <c r="F26" s="14">
        <v>32441</v>
      </c>
      <c r="G26" s="14">
        <v>6409</v>
      </c>
      <c r="H26" s="14">
        <v>4731</v>
      </c>
      <c r="I26" s="14">
        <v>33</v>
      </c>
      <c r="J26" s="14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="88" zoomScaleNormal="88" workbookViewId="0">
      <pane ySplit="1" topLeftCell="A8" activePane="bottomLeft" state="frozen"/>
      <selection pane="bottomLeft" activeCell="G26" sqref="G26"/>
    </sheetView>
  </sheetViews>
  <sheetFormatPr defaultRowHeight="14.5" x14ac:dyDescent="0.35"/>
  <cols>
    <col min="1" max="1" width="21.453125" customWidth="1"/>
    <col min="2" max="7" width="18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11" t="s">
        <v>20</v>
      </c>
    </row>
    <row r="2" spans="1:7" x14ac:dyDescent="0.35">
      <c r="A2" s="1" t="s">
        <v>21</v>
      </c>
      <c r="B2" s="18" t="s">
        <v>26</v>
      </c>
      <c r="C2" s="3">
        <v>2021</v>
      </c>
      <c r="D2" s="16">
        <v>48205</v>
      </c>
      <c r="E2" s="16">
        <v>-27286</v>
      </c>
      <c r="F2" s="16">
        <v>-24910</v>
      </c>
      <c r="G2" s="16">
        <f>(D2-21091)</f>
        <v>27114</v>
      </c>
    </row>
    <row r="3" spans="1:7" x14ac:dyDescent="0.35">
      <c r="A3" s="1" t="s">
        <v>21</v>
      </c>
      <c r="B3" s="18" t="s">
        <v>26</v>
      </c>
      <c r="C3" s="3">
        <v>2022</v>
      </c>
      <c r="D3" s="10">
        <v>55017</v>
      </c>
      <c r="E3" s="10">
        <v>-41478</v>
      </c>
      <c r="F3" s="10">
        <v>-15203</v>
      </c>
      <c r="G3" s="10">
        <f>(D3-28996)</f>
        <v>26021</v>
      </c>
    </row>
    <row r="4" spans="1:7" x14ac:dyDescent="0.35">
      <c r="A4" s="1" t="s">
        <v>21</v>
      </c>
      <c r="B4" s="18" t="s">
        <v>26</v>
      </c>
      <c r="C4" s="3">
        <v>2023</v>
      </c>
      <c r="D4" s="10">
        <v>65325</v>
      </c>
      <c r="E4" s="10">
        <v>-39232</v>
      </c>
      <c r="F4" s="10">
        <v>-24470</v>
      </c>
      <c r="G4" s="10">
        <f>(D4-38875)</f>
        <v>26450</v>
      </c>
    </row>
    <row r="5" spans="1:7" x14ac:dyDescent="0.35">
      <c r="A5" s="1" t="s">
        <v>21</v>
      </c>
      <c r="B5" s="18" t="s">
        <v>26</v>
      </c>
      <c r="C5" s="3">
        <v>2024</v>
      </c>
      <c r="D5" s="10">
        <v>78898</v>
      </c>
      <c r="E5" s="10">
        <v>-51089</v>
      </c>
      <c r="F5" s="10">
        <v>-27778</v>
      </c>
      <c r="G5" s="10">
        <f>(D5-38970)</f>
        <v>39928</v>
      </c>
    </row>
    <row r="6" spans="1:7" x14ac:dyDescent="0.35">
      <c r="A6" s="1" t="s">
        <v>21</v>
      </c>
      <c r="B6" s="18" t="s">
        <v>26</v>
      </c>
      <c r="C6" s="3">
        <v>2025</v>
      </c>
      <c r="D6" s="10">
        <v>98332</v>
      </c>
      <c r="E6" s="10">
        <v>-60198</v>
      </c>
      <c r="F6" s="10">
        <v>-36533</v>
      </c>
      <c r="G6" s="10">
        <f>(D6-58990)</f>
        <v>39342</v>
      </c>
    </row>
    <row r="7" spans="1:7" x14ac:dyDescent="0.35">
      <c r="A7" s="1" t="s">
        <v>22</v>
      </c>
      <c r="B7" s="18" t="s">
        <v>26</v>
      </c>
      <c r="C7" s="3">
        <v>2021</v>
      </c>
      <c r="D7" s="4">
        <v>15640</v>
      </c>
      <c r="E7" s="4">
        <v>1075</v>
      </c>
      <c r="F7" s="4">
        <v>-16731</v>
      </c>
      <c r="G7" s="4">
        <f>(D7-10534)</f>
        <v>5106</v>
      </c>
    </row>
    <row r="8" spans="1:7" x14ac:dyDescent="0.35">
      <c r="A8" s="1" t="s">
        <v>22</v>
      </c>
      <c r="B8" s="18" t="s">
        <v>26</v>
      </c>
      <c r="C8" s="3">
        <v>2022</v>
      </c>
      <c r="D8" s="4">
        <v>17387</v>
      </c>
      <c r="E8" s="4">
        <v>-5730</v>
      </c>
      <c r="F8" s="4">
        <v>-10554</v>
      </c>
      <c r="G8" s="4">
        <f>(D8-11395)</f>
        <v>5992</v>
      </c>
    </row>
    <row r="9" spans="1:7" x14ac:dyDescent="0.35">
      <c r="A9" s="1" t="s">
        <v>22</v>
      </c>
      <c r="B9" s="18" t="s">
        <v>26</v>
      </c>
      <c r="C9" s="3">
        <v>2023</v>
      </c>
      <c r="D9" s="4">
        <v>18869</v>
      </c>
      <c r="E9" s="4">
        <v>-5414</v>
      </c>
      <c r="F9" s="4">
        <v>-14680</v>
      </c>
      <c r="G9" s="4">
        <f>(D9-13332)</f>
        <v>5537</v>
      </c>
    </row>
    <row r="10" spans="1:7" x14ac:dyDescent="0.35">
      <c r="A10" s="1" t="s">
        <v>22</v>
      </c>
      <c r="B10" s="18" t="s">
        <v>26</v>
      </c>
      <c r="C10" s="3">
        <v>2024</v>
      </c>
      <c r="D10" s="4">
        <v>20826</v>
      </c>
      <c r="E10" s="4">
        <v>-1907</v>
      </c>
      <c r="F10" s="4">
        <v>-18980</v>
      </c>
      <c r="G10" s="4">
        <f>(D10-19296)</f>
        <v>1530</v>
      </c>
    </row>
    <row r="11" spans="1:7" x14ac:dyDescent="0.35">
      <c r="A11" s="1" t="s">
        <v>22</v>
      </c>
      <c r="B11" s="18" t="s">
        <v>26</v>
      </c>
      <c r="C11" s="3">
        <v>2025</v>
      </c>
      <c r="D11" s="4">
        <v>9291</v>
      </c>
      <c r="E11" s="4">
        <v>-16248</v>
      </c>
      <c r="F11" s="4">
        <v>7047</v>
      </c>
      <c r="G11" s="4">
        <f>(D11+931)</f>
        <v>10222</v>
      </c>
    </row>
    <row r="12" spans="1:7" x14ac:dyDescent="0.35">
      <c r="A12" s="1" t="s">
        <v>23</v>
      </c>
      <c r="B12" s="18" t="s">
        <v>26</v>
      </c>
      <c r="C12" s="3">
        <v>2021</v>
      </c>
      <c r="D12" s="12">
        <v>3180</v>
      </c>
      <c r="E12" s="12">
        <v>-2007</v>
      </c>
      <c r="F12" s="12">
        <v>-1205</v>
      </c>
      <c r="G12" s="12">
        <f>(D12-1828)</f>
        <v>1352</v>
      </c>
    </row>
    <row r="13" spans="1:7" x14ac:dyDescent="0.35">
      <c r="A13" s="1" t="s">
        <v>23</v>
      </c>
      <c r="B13" s="18" t="s">
        <v>26</v>
      </c>
      <c r="C13" s="3">
        <v>2022</v>
      </c>
      <c r="D13" s="12">
        <v>4204</v>
      </c>
      <c r="E13" s="12">
        <v>-894</v>
      </c>
      <c r="F13" s="12">
        <v>-3431</v>
      </c>
      <c r="G13" s="12">
        <f>(D13-2554)</f>
        <v>1650</v>
      </c>
    </row>
    <row r="14" spans="1:7" x14ac:dyDescent="0.35">
      <c r="A14" s="1" t="s">
        <v>23</v>
      </c>
      <c r="B14" s="18" t="s">
        <v>26</v>
      </c>
      <c r="C14" s="3">
        <v>2023</v>
      </c>
      <c r="D14" s="12">
        <v>4384</v>
      </c>
      <c r="E14" s="12">
        <v>-1836</v>
      </c>
      <c r="F14" s="12">
        <v>-2241</v>
      </c>
      <c r="G14" s="12">
        <f>(D14-2899)</f>
        <v>1485</v>
      </c>
    </row>
    <row r="15" spans="1:7" x14ac:dyDescent="0.35">
      <c r="A15" s="1" t="s">
        <v>23</v>
      </c>
      <c r="B15" s="18" t="s">
        <v>26</v>
      </c>
      <c r="C15" s="3">
        <v>2024</v>
      </c>
      <c r="D15" s="12">
        <v>3182</v>
      </c>
      <c r="E15" s="12">
        <v>-2641</v>
      </c>
      <c r="F15" s="12">
        <v>-813</v>
      </c>
      <c r="G15" s="12">
        <f>(D15-1110)</f>
        <v>2072</v>
      </c>
    </row>
    <row r="16" spans="1:7" x14ac:dyDescent="0.35">
      <c r="A16" s="1" t="s">
        <v>23</v>
      </c>
      <c r="B16" s="18" t="s">
        <v>26</v>
      </c>
      <c r="C16" s="3">
        <v>2025</v>
      </c>
      <c r="D16" s="12">
        <v>2911</v>
      </c>
      <c r="E16" s="15">
        <v>-2173</v>
      </c>
      <c r="F16" s="12">
        <v>-936</v>
      </c>
      <c r="G16" s="12">
        <f>(D16-711)</f>
        <v>2200</v>
      </c>
    </row>
    <row r="17" spans="1:7" x14ac:dyDescent="0.35">
      <c r="A17" s="1" t="s">
        <v>24</v>
      </c>
      <c r="B17" s="18" t="s">
        <v>26</v>
      </c>
      <c r="C17" s="3">
        <v>2021</v>
      </c>
      <c r="D17" s="13">
        <v>7481</v>
      </c>
      <c r="E17" s="13">
        <v>1798</v>
      </c>
      <c r="F17" s="13">
        <v>-9377</v>
      </c>
      <c r="G17" s="13">
        <f>(D17-5529)</f>
        <v>1952</v>
      </c>
    </row>
    <row r="18" spans="1:7" x14ac:dyDescent="0.35">
      <c r="A18" s="1" t="s">
        <v>24</v>
      </c>
      <c r="B18" s="18" t="s">
        <v>26</v>
      </c>
      <c r="C18" s="3">
        <v>2022</v>
      </c>
      <c r="D18" s="13">
        <v>9121</v>
      </c>
      <c r="E18" s="13">
        <v>-2174</v>
      </c>
      <c r="F18" s="13">
        <v>-5982</v>
      </c>
      <c r="G18" s="13">
        <f>(D18-6252)</f>
        <v>2869</v>
      </c>
    </row>
    <row r="19" spans="1:7" x14ac:dyDescent="0.35">
      <c r="A19" s="1" t="s">
        <v>24</v>
      </c>
      <c r="B19" s="18" t="s">
        <v>26</v>
      </c>
      <c r="C19" s="3">
        <v>2023</v>
      </c>
      <c r="D19" s="13">
        <v>7905</v>
      </c>
      <c r="E19" s="13">
        <v>-1730</v>
      </c>
      <c r="F19" s="13">
        <v>-7133</v>
      </c>
      <c r="G19" s="13">
        <f>(D19-4737)</f>
        <v>3168</v>
      </c>
    </row>
    <row r="20" spans="1:7" x14ac:dyDescent="0.35">
      <c r="A20" s="1" t="s">
        <v>24</v>
      </c>
      <c r="B20" s="18" t="s">
        <v>26</v>
      </c>
      <c r="C20" s="3">
        <v>2024</v>
      </c>
      <c r="D20" s="13">
        <v>11582</v>
      </c>
      <c r="E20" s="13">
        <v>-7546</v>
      </c>
      <c r="F20" s="13">
        <v>-3995</v>
      </c>
      <c r="G20" s="13">
        <f>(D20-3136)</f>
        <v>8446</v>
      </c>
    </row>
    <row r="21" spans="1:7" x14ac:dyDescent="0.35">
      <c r="A21" s="1" t="s">
        <v>24</v>
      </c>
      <c r="B21" s="18" t="s">
        <v>26</v>
      </c>
      <c r="C21" s="3">
        <v>2025</v>
      </c>
      <c r="D21" s="13">
        <v>19645</v>
      </c>
      <c r="E21" s="13">
        <v>-10910</v>
      </c>
      <c r="F21" s="13">
        <v>-8648</v>
      </c>
      <c r="G21" s="13">
        <f>(D21-13388)</f>
        <v>6257</v>
      </c>
    </row>
    <row r="22" spans="1:7" x14ac:dyDescent="0.35">
      <c r="A22" s="1" t="s">
        <v>25</v>
      </c>
      <c r="B22" s="18" t="s">
        <v>26</v>
      </c>
      <c r="C22" s="3">
        <v>2021</v>
      </c>
      <c r="D22" s="20">
        <v>-225</v>
      </c>
      <c r="E22" s="14">
        <v>-259</v>
      </c>
      <c r="F22" s="14">
        <v>414</v>
      </c>
      <c r="G22" s="14">
        <f>(D22+324)</f>
        <v>99</v>
      </c>
    </row>
    <row r="23" spans="1:7" x14ac:dyDescent="0.35">
      <c r="A23" s="1" t="s">
        <v>25</v>
      </c>
      <c r="B23" s="18" t="s">
        <v>26</v>
      </c>
      <c r="C23" s="3">
        <v>2022</v>
      </c>
      <c r="D23" s="20">
        <v>704</v>
      </c>
      <c r="E23" s="14">
        <v>204</v>
      </c>
      <c r="F23" s="14">
        <v>-936</v>
      </c>
      <c r="G23" s="14">
        <f>(D23-691)</f>
        <v>13</v>
      </c>
    </row>
    <row r="24" spans="1:7" x14ac:dyDescent="0.35">
      <c r="A24" s="1" t="s">
        <v>25</v>
      </c>
      <c r="B24" s="18" t="s">
        <v>26</v>
      </c>
      <c r="C24" s="3">
        <v>2023</v>
      </c>
      <c r="D24" s="20">
        <v>64</v>
      </c>
      <c r="E24" s="14">
        <v>-174</v>
      </c>
      <c r="F24" s="14">
        <v>177</v>
      </c>
      <c r="G24" s="14">
        <f>(D24-20)</f>
        <v>44</v>
      </c>
    </row>
    <row r="25" spans="1:7" x14ac:dyDescent="0.35">
      <c r="A25" s="1" t="s">
        <v>25</v>
      </c>
      <c r="B25" s="18" t="s">
        <v>26</v>
      </c>
      <c r="C25" s="3">
        <v>2024</v>
      </c>
      <c r="D25" s="20">
        <v>130</v>
      </c>
      <c r="E25" s="14">
        <v>107</v>
      </c>
      <c r="F25" s="14">
        <v>-319</v>
      </c>
      <c r="G25" s="14">
        <f>(D25-57)</f>
        <v>73</v>
      </c>
    </row>
    <row r="26" spans="1:7" x14ac:dyDescent="0.35">
      <c r="A26" s="1" t="s">
        <v>25</v>
      </c>
      <c r="B26" s="18" t="s">
        <v>26</v>
      </c>
      <c r="C26" s="3">
        <v>2025</v>
      </c>
      <c r="D26" s="20">
        <v>340</v>
      </c>
      <c r="E26" s="14">
        <v>-29</v>
      </c>
      <c r="F26" s="14">
        <v>-215</v>
      </c>
      <c r="G26" s="14">
        <f>(D26-304)</f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 Vemula</cp:lastModifiedBy>
  <dcterms:created xsi:type="dcterms:W3CDTF">2026-07-18T11:37:23Z</dcterms:created>
  <dcterms:modified xsi:type="dcterms:W3CDTF">2026-07-31T06:08:32Z</dcterms:modified>
</cp:coreProperties>
</file>