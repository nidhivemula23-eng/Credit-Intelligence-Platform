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emul\OneDrive\Desktop\sql\"/>
    </mc:Choice>
  </mc:AlternateContent>
  <xr:revisionPtr revIDLastSave="0" documentId="13_ncr:1_{F62B2269-157A-4D2F-9983-8899279E2A3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come_Statement" sheetId="2" r:id="rId1"/>
    <sheet name="Balance_Sheet" sheetId="3" r:id="rId2"/>
    <sheet name="Cash_Flow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4" l="1"/>
  <c r="G7" i="4"/>
  <c r="G26" i="4"/>
  <c r="G25" i="4"/>
  <c r="G24" i="4"/>
  <c r="G23" i="4"/>
  <c r="G22" i="4"/>
  <c r="E26" i="3"/>
  <c r="E25" i="3"/>
  <c r="E24" i="3"/>
  <c r="E23" i="3"/>
  <c r="E22" i="3"/>
  <c r="I26" i="2"/>
  <c r="I25" i="2"/>
  <c r="I24" i="2"/>
  <c r="I23" i="2"/>
  <c r="I22" i="2"/>
  <c r="E26" i="2"/>
  <c r="E25" i="2"/>
  <c r="E24" i="2"/>
  <c r="E23" i="2"/>
  <c r="E22" i="2"/>
  <c r="G21" i="4"/>
  <c r="G20" i="4"/>
  <c r="G19" i="4"/>
  <c r="G18" i="4"/>
  <c r="G17" i="4"/>
  <c r="E21" i="3"/>
  <c r="E20" i="3"/>
  <c r="E19" i="3"/>
  <c r="E18" i="3"/>
  <c r="E17" i="3"/>
  <c r="I21" i="2"/>
  <c r="I20" i="2"/>
  <c r="I19" i="2"/>
  <c r="I18" i="2"/>
  <c r="I17" i="2"/>
  <c r="E21" i="2"/>
  <c r="E20" i="2"/>
  <c r="E19" i="2"/>
  <c r="E18" i="2"/>
  <c r="E17" i="2"/>
  <c r="G16" i="4"/>
  <c r="G15" i="4"/>
  <c r="G14" i="4"/>
  <c r="G13" i="4"/>
  <c r="G12" i="4"/>
  <c r="E16" i="3"/>
  <c r="E15" i="3"/>
  <c r="E14" i="3"/>
  <c r="E13" i="3"/>
  <c r="E12" i="3"/>
  <c r="I16" i="2"/>
  <c r="I15" i="2"/>
  <c r="I14" i="2"/>
  <c r="I13" i="2"/>
  <c r="I12" i="2"/>
  <c r="E16" i="2"/>
  <c r="E15" i="2"/>
  <c r="E14" i="2"/>
  <c r="E13" i="2"/>
  <c r="E12" i="2"/>
  <c r="G10" i="4"/>
  <c r="G9" i="4"/>
  <c r="G8" i="4"/>
  <c r="I11" i="2"/>
  <c r="I10" i="2"/>
  <c r="I9" i="2"/>
  <c r="I8" i="2"/>
  <c r="I7" i="2"/>
  <c r="E11" i="2"/>
  <c r="E10" i="2"/>
  <c r="E9" i="2"/>
  <c r="E8" i="2"/>
  <c r="E7" i="2"/>
  <c r="E3" i="2"/>
  <c r="E4" i="2"/>
  <c r="E5" i="2"/>
  <c r="E6" i="2"/>
  <c r="E2" i="2"/>
</calcChain>
</file>

<file path=xl/sharedStrings.xml><?xml version="1.0" encoding="utf-8"?>
<sst xmlns="http://schemas.openxmlformats.org/spreadsheetml/2006/main" count="177" uniqueCount="27">
  <si>
    <t>company_name</t>
  </si>
  <si>
    <t>sector</t>
  </si>
  <si>
    <t>fiscal_year</t>
  </si>
  <si>
    <t>revenue</t>
  </si>
  <si>
    <t>ebitda</t>
  </si>
  <si>
    <t>ebit</t>
  </si>
  <si>
    <t>interest_expense</t>
  </si>
  <si>
    <t>depreciation</t>
  </si>
  <si>
    <t>net_profit</t>
  </si>
  <si>
    <t>total_assets</t>
  </si>
  <si>
    <t>total_equity</t>
  </si>
  <si>
    <t>total_debt</t>
  </si>
  <si>
    <t>current_assets</t>
  </si>
  <si>
    <t>current_liabilities</t>
  </si>
  <si>
    <t>inventory</t>
  </si>
  <si>
    <t>cash_and_equivalents</t>
  </si>
  <si>
    <t>cfo</t>
  </si>
  <si>
    <t>cfi</t>
  </si>
  <si>
    <t>cff</t>
  </si>
  <si>
    <t>tax (pbt-eat)</t>
  </si>
  <si>
    <t>capex(cfo-fcf)</t>
  </si>
  <si>
    <t>Tata Steel</t>
  </si>
  <si>
    <t>JSW Steel</t>
  </si>
  <si>
    <t>Jindal Steel &amp; Power</t>
  </si>
  <si>
    <t>Steel</t>
  </si>
  <si>
    <t>APL Apollo Tubes</t>
  </si>
  <si>
    <t>Steel Authority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</si>
</sst>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sz val="11"/>
      <name val="Arial"/>
    </font>
    <font>
      <i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6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6" fillId="2" borderId="0" xfId="0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3" fontId="5" fillId="5" borderId="0" xfId="0" applyNumberFormat="1" applyFont="1" applyFill="1"/>
    <xf numFmtId="0" fontId="1" fillId="3" borderId="0" xfId="0" applyFont="1" applyFill="1"/>
    <xf numFmtId="0" fontId="3" fillId="5" borderId="0" xfId="0" applyFont="1" applyFill="1"/>
    <xf numFmtId="0" fontId="7" fillId="2" borderId="0" xfId="0" applyFont="1" applyFill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3" fontId="3" fillId="6" borderId="0" xfId="0" applyNumberFormat="1" applyFont="1" applyFill="1"/>
    <xf numFmtId="0" fontId="5" fillId="4" borderId="0" xfId="0" applyFont="1" applyFill="1"/>
    <xf numFmtId="0" fontId="8" fillId="4" borderId="0" xfId="0" applyFont="1" applyFill="1"/>
    <xf numFmtId="0" fontId="5" fillId="0" borderId="0" xfId="0" applyFont="1"/>
    <xf numFmtId="0" fontId="1" fillId="6" borderId="0" xfId="0" applyFont="1" applyFill="1"/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topLeftCell="H1" zoomScale="128" workbookViewId="0">
      <pane ySplit="1" topLeftCell="A14" activePane="bottomLeft" state="frozen"/>
      <selection pane="bottomLeft" activeCell="I26" sqref="I26"/>
    </sheetView>
  </sheetViews>
  <sheetFormatPr defaultRowHeight="14.5" x14ac:dyDescent="0.35"/>
  <cols>
    <col min="1" max="1" width="22.26953125" customWidth="1"/>
    <col min="2" max="10" width="18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19</v>
      </c>
      <c r="J1" s="5" t="s">
        <v>8</v>
      </c>
    </row>
    <row r="2" spans="1:10" x14ac:dyDescent="0.35">
      <c r="A2" s="1" t="s">
        <v>21</v>
      </c>
      <c r="B2" s="1" t="s">
        <v>24</v>
      </c>
      <c r="C2" s="3">
        <v>2021</v>
      </c>
      <c r="D2" s="16">
        <v>156477</v>
      </c>
      <c r="E2" s="16">
        <f>(F2+H2)</f>
        <v>39738</v>
      </c>
      <c r="F2" s="16">
        <v>30504</v>
      </c>
      <c r="G2" s="16">
        <v>7607</v>
      </c>
      <c r="H2" s="16">
        <v>9234</v>
      </c>
      <c r="I2" s="16">
        <v>5654</v>
      </c>
      <c r="J2" s="6">
        <v>8190</v>
      </c>
    </row>
    <row r="3" spans="1:10" x14ac:dyDescent="0.35">
      <c r="A3" s="1" t="s">
        <v>21</v>
      </c>
      <c r="B3" s="1" t="s">
        <v>24</v>
      </c>
      <c r="C3" s="3">
        <v>2022</v>
      </c>
      <c r="D3" s="7">
        <v>243959</v>
      </c>
      <c r="E3" s="16">
        <f t="shared" ref="E3:E26" si="0">(F3+H3)</f>
        <v>72591</v>
      </c>
      <c r="F3" s="7">
        <v>63490</v>
      </c>
      <c r="G3" s="7">
        <v>5462</v>
      </c>
      <c r="H3" s="17">
        <v>9101</v>
      </c>
      <c r="I3" s="7">
        <v>8478</v>
      </c>
      <c r="J3" s="7">
        <v>41749</v>
      </c>
    </row>
    <row r="4" spans="1:10" x14ac:dyDescent="0.35">
      <c r="A4" s="1" t="s">
        <v>21</v>
      </c>
      <c r="B4" s="1" t="s">
        <v>24</v>
      </c>
      <c r="C4" s="3">
        <v>2023</v>
      </c>
      <c r="D4" s="7">
        <v>243353</v>
      </c>
      <c r="E4" s="16">
        <f t="shared" si="0"/>
        <v>41635</v>
      </c>
      <c r="F4" s="7">
        <v>32300</v>
      </c>
      <c r="G4" s="7">
        <v>6299</v>
      </c>
      <c r="H4" s="7">
        <v>9335</v>
      </c>
      <c r="I4" s="7">
        <v>10160</v>
      </c>
      <c r="J4" s="7">
        <v>8075</v>
      </c>
    </row>
    <row r="5" spans="1:10" x14ac:dyDescent="0.35">
      <c r="A5" s="1" t="s">
        <v>21</v>
      </c>
      <c r="B5" s="1" t="s">
        <v>24</v>
      </c>
      <c r="C5" s="3">
        <v>2024</v>
      </c>
      <c r="D5" s="8">
        <v>229171</v>
      </c>
      <c r="E5" s="16">
        <f t="shared" si="0"/>
        <v>32130</v>
      </c>
      <c r="F5" s="7">
        <v>22248</v>
      </c>
      <c r="G5" s="7">
        <v>7508</v>
      </c>
      <c r="H5" s="7">
        <v>9882</v>
      </c>
      <c r="I5" s="7">
        <v>6057</v>
      </c>
      <c r="J5" s="7">
        <v>-4910</v>
      </c>
    </row>
    <row r="6" spans="1:10" x14ac:dyDescent="0.35">
      <c r="A6" s="1" t="s">
        <v>21</v>
      </c>
      <c r="B6" s="1" t="s">
        <v>24</v>
      </c>
      <c r="C6" s="3">
        <v>2025</v>
      </c>
      <c r="D6" s="7">
        <v>218543</v>
      </c>
      <c r="E6" s="16">
        <f t="shared" si="0"/>
        <v>35719</v>
      </c>
      <c r="F6" s="7">
        <v>25298</v>
      </c>
      <c r="G6" s="7">
        <v>7341</v>
      </c>
      <c r="H6" s="7">
        <v>10421</v>
      </c>
      <c r="I6" s="7">
        <v>5239</v>
      </c>
      <c r="J6" s="7">
        <v>3174</v>
      </c>
    </row>
    <row r="7" spans="1:10" x14ac:dyDescent="0.35">
      <c r="A7" s="1" t="s">
        <v>22</v>
      </c>
      <c r="B7" s="1" t="s">
        <v>24</v>
      </c>
      <c r="C7" s="3">
        <v>2021</v>
      </c>
      <c r="D7" s="4">
        <v>79839</v>
      </c>
      <c r="E7" s="4">
        <f t="shared" si="0"/>
        <v>24857</v>
      </c>
      <c r="F7" s="4">
        <v>20178</v>
      </c>
      <c r="G7" s="4">
        <v>3957</v>
      </c>
      <c r="H7" s="4">
        <v>4679</v>
      </c>
      <c r="I7" s="9">
        <f>(12015-J7)</f>
        <v>4142</v>
      </c>
      <c r="J7" s="4">
        <v>7873</v>
      </c>
    </row>
    <row r="8" spans="1:10" x14ac:dyDescent="0.35">
      <c r="A8" s="1" t="s">
        <v>22</v>
      </c>
      <c r="B8" s="1" t="s">
        <v>24</v>
      </c>
      <c r="C8" s="3">
        <v>2022</v>
      </c>
      <c r="D8" s="4">
        <v>146371</v>
      </c>
      <c r="E8" s="4">
        <f t="shared" si="0"/>
        <v>45115</v>
      </c>
      <c r="F8" s="4">
        <v>39114</v>
      </c>
      <c r="G8" s="4">
        <v>4968</v>
      </c>
      <c r="H8" s="4">
        <v>6001</v>
      </c>
      <c r="I8" s="4">
        <f>(29745-J8)</f>
        <v>8807</v>
      </c>
      <c r="J8" s="4">
        <v>20938</v>
      </c>
    </row>
    <row r="9" spans="1:10" x14ac:dyDescent="0.35">
      <c r="A9" s="1" t="s">
        <v>22</v>
      </c>
      <c r="B9" s="1" t="s">
        <v>24</v>
      </c>
      <c r="C9" s="3">
        <v>2023</v>
      </c>
      <c r="D9" s="4">
        <v>165960</v>
      </c>
      <c r="E9" s="4">
        <f t="shared" si="0"/>
        <v>25944</v>
      </c>
      <c r="F9" s="4">
        <v>18470</v>
      </c>
      <c r="G9" s="4">
        <v>6902</v>
      </c>
      <c r="H9" s="4">
        <v>7474</v>
      </c>
      <c r="I9" s="4">
        <f>(5655-J9)</f>
        <v>1516</v>
      </c>
      <c r="J9" s="4">
        <v>4139</v>
      </c>
    </row>
    <row r="10" spans="1:10" x14ac:dyDescent="0.35">
      <c r="A10" s="1" t="s">
        <v>22</v>
      </c>
      <c r="B10" s="1" t="s">
        <v>24</v>
      </c>
      <c r="C10" s="3">
        <v>2024</v>
      </c>
      <c r="D10" s="4">
        <v>175006</v>
      </c>
      <c r="E10" s="4">
        <f t="shared" si="0"/>
        <v>36329</v>
      </c>
      <c r="F10" s="4">
        <v>28157</v>
      </c>
      <c r="G10" s="4">
        <v>8105</v>
      </c>
      <c r="H10" s="4">
        <v>8172</v>
      </c>
      <c r="I10" s="4">
        <f>(13380-J10)</f>
        <v>4407</v>
      </c>
      <c r="J10" s="4">
        <v>8973</v>
      </c>
    </row>
    <row r="11" spans="1:10" x14ac:dyDescent="0.35">
      <c r="A11" s="1" t="s">
        <v>22</v>
      </c>
      <c r="B11" s="1" t="s">
        <v>24</v>
      </c>
      <c r="C11" s="3">
        <v>2025</v>
      </c>
      <c r="D11" s="4">
        <v>168824</v>
      </c>
      <c r="E11" s="4">
        <f t="shared" si="0"/>
        <v>32034</v>
      </c>
      <c r="F11" s="4">
        <v>22725</v>
      </c>
      <c r="G11" s="4">
        <v>8412</v>
      </c>
      <c r="H11" s="4">
        <v>9309</v>
      </c>
      <c r="I11" s="4">
        <f>(5077-J11)</f>
        <v>1586</v>
      </c>
      <c r="J11" s="4">
        <v>3491</v>
      </c>
    </row>
    <row r="12" spans="1:10" x14ac:dyDescent="0.35">
      <c r="A12" s="1" t="s">
        <v>26</v>
      </c>
      <c r="B12" s="1" t="s">
        <v>24</v>
      </c>
      <c r="C12" s="3">
        <v>2021</v>
      </c>
      <c r="D12" s="12">
        <v>69114</v>
      </c>
      <c r="E12" s="12">
        <f t="shared" si="0"/>
        <v>16879</v>
      </c>
      <c r="F12" s="12">
        <v>12776</v>
      </c>
      <c r="G12" s="12">
        <v>2817</v>
      </c>
      <c r="H12" s="12">
        <v>4103</v>
      </c>
      <c r="I12" s="12">
        <f>(7206-J12)</f>
        <v>3058</v>
      </c>
      <c r="J12" s="12">
        <v>4148</v>
      </c>
    </row>
    <row r="13" spans="1:10" x14ac:dyDescent="0.35">
      <c r="A13" s="1" t="s">
        <v>26</v>
      </c>
      <c r="B13" s="1" t="s">
        <v>24</v>
      </c>
      <c r="C13" s="3">
        <v>2022</v>
      </c>
      <c r="D13" s="12">
        <v>103477</v>
      </c>
      <c r="E13" s="12">
        <f t="shared" si="0"/>
        <v>25638</v>
      </c>
      <c r="F13" s="12">
        <v>21363</v>
      </c>
      <c r="G13" s="12">
        <v>1698</v>
      </c>
      <c r="H13" s="12">
        <v>4275</v>
      </c>
      <c r="I13" s="12">
        <f>(16292-J13)</f>
        <v>4049</v>
      </c>
      <c r="J13" s="12">
        <v>12243</v>
      </c>
    </row>
    <row r="14" spans="1:10" x14ac:dyDescent="0.35">
      <c r="A14" s="1" t="s">
        <v>26</v>
      </c>
      <c r="B14" s="1" t="s">
        <v>24</v>
      </c>
      <c r="C14" s="3">
        <v>2023</v>
      </c>
      <c r="D14" s="12">
        <v>104448</v>
      </c>
      <c r="E14" s="12">
        <f t="shared" si="0"/>
        <v>13002</v>
      </c>
      <c r="F14" s="12">
        <v>8038</v>
      </c>
      <c r="G14" s="12">
        <v>2037</v>
      </c>
      <c r="H14" s="12">
        <v>4964</v>
      </c>
      <c r="I14" s="12">
        <f>(2892-J14)</f>
        <v>715</v>
      </c>
      <c r="J14" s="12">
        <v>2177</v>
      </c>
    </row>
    <row r="15" spans="1:10" x14ac:dyDescent="0.35">
      <c r="A15" s="1" t="s">
        <v>26</v>
      </c>
      <c r="B15" s="1" t="s">
        <v>24</v>
      </c>
      <c r="C15" s="3">
        <v>2024</v>
      </c>
      <c r="D15" s="12">
        <v>105378</v>
      </c>
      <c r="E15" s="12">
        <f t="shared" si="0"/>
        <v>16427</v>
      </c>
      <c r="F15" s="12">
        <v>11149</v>
      </c>
      <c r="G15" s="12">
        <v>2474</v>
      </c>
      <c r="H15" s="12">
        <v>5278</v>
      </c>
      <c r="I15" s="12">
        <f>(4062-J15)</f>
        <v>995</v>
      </c>
      <c r="J15" s="12">
        <v>3067</v>
      </c>
    </row>
    <row r="16" spans="1:10" x14ac:dyDescent="0.35">
      <c r="A16" s="1" t="s">
        <v>26</v>
      </c>
      <c r="B16" s="1" t="s">
        <v>24</v>
      </c>
      <c r="C16" s="3">
        <v>2025</v>
      </c>
      <c r="D16" s="12">
        <v>102479</v>
      </c>
      <c r="E16" s="12">
        <f t="shared" si="0"/>
        <v>16341</v>
      </c>
      <c r="F16" s="12">
        <v>10690</v>
      </c>
      <c r="G16" s="12">
        <v>2793</v>
      </c>
      <c r="H16" s="12">
        <v>5651</v>
      </c>
      <c r="I16" s="12">
        <f>(3252-J16)</f>
        <v>880</v>
      </c>
      <c r="J16" s="12">
        <v>2372</v>
      </c>
    </row>
    <row r="17" spans="1:10" x14ac:dyDescent="0.35">
      <c r="A17" s="1" t="s">
        <v>23</v>
      </c>
      <c r="B17" s="1" t="s">
        <v>24</v>
      </c>
      <c r="C17" s="3">
        <v>2021</v>
      </c>
      <c r="D17" s="13">
        <v>34579</v>
      </c>
      <c r="E17" s="13">
        <f t="shared" si="0"/>
        <v>15521</v>
      </c>
      <c r="F17" s="13">
        <v>13107</v>
      </c>
      <c r="G17" s="13">
        <v>2753</v>
      </c>
      <c r="H17" s="13">
        <v>2414</v>
      </c>
      <c r="I17" s="13">
        <f>(6078-J17)</f>
        <v>1811</v>
      </c>
      <c r="J17" s="13">
        <v>4267</v>
      </c>
    </row>
    <row r="18" spans="1:10" x14ac:dyDescent="0.35">
      <c r="A18" s="1" t="s">
        <v>23</v>
      </c>
      <c r="B18" s="1" t="s">
        <v>24</v>
      </c>
      <c r="C18" s="3">
        <v>2022</v>
      </c>
      <c r="D18" s="13">
        <v>51166</v>
      </c>
      <c r="E18" s="13">
        <f t="shared" si="0"/>
        <v>17656</v>
      </c>
      <c r="F18" s="13">
        <v>15559</v>
      </c>
      <c r="G18" s="13">
        <v>1888</v>
      </c>
      <c r="H18" s="13">
        <v>2097</v>
      </c>
      <c r="I18" s="13">
        <f>(9690-J18)</f>
        <v>2924</v>
      </c>
      <c r="J18" s="13">
        <v>6766</v>
      </c>
    </row>
    <row r="19" spans="1:10" x14ac:dyDescent="0.35">
      <c r="A19" s="1" t="s">
        <v>23</v>
      </c>
      <c r="B19" s="1" t="s">
        <v>24</v>
      </c>
      <c r="C19" s="3">
        <v>2023</v>
      </c>
      <c r="D19" s="13">
        <v>53212</v>
      </c>
      <c r="E19" s="13">
        <f t="shared" si="0"/>
        <v>12633</v>
      </c>
      <c r="F19" s="13">
        <v>9942</v>
      </c>
      <c r="G19" s="13">
        <v>1446</v>
      </c>
      <c r="H19" s="13">
        <v>2691</v>
      </c>
      <c r="I19" s="13">
        <f>(5266-J19)</f>
        <v>1292</v>
      </c>
      <c r="J19" s="13">
        <v>3974</v>
      </c>
    </row>
    <row r="20" spans="1:10" x14ac:dyDescent="0.35">
      <c r="A20" s="1" t="s">
        <v>23</v>
      </c>
      <c r="B20" s="1" t="s">
        <v>24</v>
      </c>
      <c r="C20" s="3">
        <v>2024</v>
      </c>
      <c r="D20" s="13">
        <v>50354</v>
      </c>
      <c r="E20" s="13">
        <f t="shared" si="0"/>
        <v>13024</v>
      </c>
      <c r="F20" s="13">
        <v>10202</v>
      </c>
      <c r="G20" s="13">
        <v>1294</v>
      </c>
      <c r="H20" s="13">
        <v>2822</v>
      </c>
      <c r="I20" s="13">
        <f>(6241-J20)</f>
        <v>298</v>
      </c>
      <c r="J20" s="13">
        <v>5943</v>
      </c>
    </row>
    <row r="21" spans="1:10" x14ac:dyDescent="0.35">
      <c r="A21" s="1" t="s">
        <v>23</v>
      </c>
      <c r="B21" s="1" t="s">
        <v>24</v>
      </c>
      <c r="C21" s="3">
        <v>2025</v>
      </c>
      <c r="D21" s="13">
        <v>50129</v>
      </c>
      <c r="E21" s="13">
        <f t="shared" si="0"/>
        <v>12256</v>
      </c>
      <c r="F21" s="13">
        <v>9488</v>
      </c>
      <c r="G21" s="13">
        <v>1312</v>
      </c>
      <c r="H21" s="13">
        <v>2768</v>
      </c>
      <c r="I21" s="13">
        <f>(4344-J21)</f>
        <v>1498</v>
      </c>
      <c r="J21" s="13">
        <v>2846</v>
      </c>
    </row>
    <row r="22" spans="1:10" x14ac:dyDescent="0.35">
      <c r="A22" s="1" t="s">
        <v>25</v>
      </c>
      <c r="B22" s="1" t="s">
        <v>24</v>
      </c>
      <c r="C22" s="3">
        <v>2021</v>
      </c>
      <c r="D22" s="14">
        <v>8500</v>
      </c>
      <c r="E22" s="14">
        <f t="shared" si="0"/>
        <v>782</v>
      </c>
      <c r="F22" s="14">
        <v>679</v>
      </c>
      <c r="G22" s="14">
        <v>66</v>
      </c>
      <c r="H22" s="14">
        <v>103</v>
      </c>
      <c r="I22" s="14">
        <f>(546-J22)</f>
        <v>138</v>
      </c>
      <c r="J22" s="14">
        <v>408</v>
      </c>
    </row>
    <row r="23" spans="1:10" x14ac:dyDescent="0.35">
      <c r="A23" s="1" t="s">
        <v>25</v>
      </c>
      <c r="B23" s="1" t="s">
        <v>24</v>
      </c>
      <c r="C23" s="3">
        <v>2022</v>
      </c>
      <c r="D23" s="14">
        <v>13063</v>
      </c>
      <c r="E23" s="14">
        <f t="shared" si="0"/>
        <v>1055</v>
      </c>
      <c r="F23" s="14">
        <v>946</v>
      </c>
      <c r="G23" s="14">
        <v>44</v>
      </c>
      <c r="H23" s="14">
        <v>109</v>
      </c>
      <c r="I23" s="14">
        <f>(832-J23)</f>
        <v>213</v>
      </c>
      <c r="J23" s="14">
        <v>619</v>
      </c>
    </row>
    <row r="24" spans="1:10" x14ac:dyDescent="0.35">
      <c r="A24" s="1" t="s">
        <v>25</v>
      </c>
      <c r="B24" s="1" t="s">
        <v>24</v>
      </c>
      <c r="C24" s="3">
        <v>2023</v>
      </c>
      <c r="D24" s="14">
        <v>16166</v>
      </c>
      <c r="E24" s="14">
        <f t="shared" si="0"/>
        <v>1160</v>
      </c>
      <c r="F24" s="14">
        <v>1022</v>
      </c>
      <c r="G24" s="14">
        <v>67</v>
      </c>
      <c r="H24" s="14">
        <v>138</v>
      </c>
      <c r="I24" s="14">
        <f>(863-J24)</f>
        <v>221</v>
      </c>
      <c r="J24" s="14">
        <v>642</v>
      </c>
    </row>
    <row r="25" spans="1:10" x14ac:dyDescent="0.35">
      <c r="A25" s="1" t="s">
        <v>25</v>
      </c>
      <c r="B25" s="1" t="s">
        <v>24</v>
      </c>
      <c r="C25" s="3">
        <v>2024</v>
      </c>
      <c r="D25" s="14">
        <v>18119</v>
      </c>
      <c r="E25" s="14">
        <f t="shared" si="0"/>
        <v>1369</v>
      </c>
      <c r="F25" s="14">
        <v>1193</v>
      </c>
      <c r="G25" s="14">
        <v>113</v>
      </c>
      <c r="H25" s="14">
        <v>176</v>
      </c>
      <c r="I25" s="14">
        <f>(978-J25)</f>
        <v>246</v>
      </c>
      <c r="J25" s="14">
        <v>732</v>
      </c>
    </row>
    <row r="26" spans="1:10" x14ac:dyDescent="0.35">
      <c r="A26" s="1" t="s">
        <v>25</v>
      </c>
      <c r="B26" s="1" t="s">
        <v>24</v>
      </c>
      <c r="C26" s="3">
        <v>2025</v>
      </c>
      <c r="D26" s="14">
        <v>20690</v>
      </c>
      <c r="E26" s="14">
        <f t="shared" si="0"/>
        <v>1400</v>
      </c>
      <c r="F26" s="14">
        <v>1199</v>
      </c>
      <c r="G26" s="14">
        <v>133</v>
      </c>
      <c r="H26" s="14">
        <v>201</v>
      </c>
      <c r="I26" s="14">
        <f>(960-J26)</f>
        <v>203</v>
      </c>
      <c r="J26" s="14">
        <v>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topLeftCell="H1" zoomScale="103" workbookViewId="0">
      <pane ySplit="1" topLeftCell="A11" activePane="bottomLeft" state="frozen"/>
      <selection pane="bottomLeft" activeCell="F22" sqref="F22"/>
    </sheetView>
  </sheetViews>
  <sheetFormatPr defaultRowHeight="14.5" x14ac:dyDescent="0.35"/>
  <cols>
    <col min="1" max="9" width="18" customWidth="1"/>
    <col min="10" max="10" width="25.453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x14ac:dyDescent="0.35">
      <c r="A2" s="1" t="s">
        <v>21</v>
      </c>
      <c r="B2" s="18" t="s">
        <v>24</v>
      </c>
      <c r="C2" s="3">
        <v>2021</v>
      </c>
      <c r="D2" s="6">
        <v>243909</v>
      </c>
      <c r="E2" s="6">
        <v>74239</v>
      </c>
      <c r="F2" s="16">
        <v>88501</v>
      </c>
      <c r="G2" s="16">
        <v>78445</v>
      </c>
      <c r="H2" s="16">
        <v>81169</v>
      </c>
      <c r="I2" s="16">
        <v>33276</v>
      </c>
      <c r="J2" s="16">
        <v>5782</v>
      </c>
    </row>
    <row r="3" spans="1:10" x14ac:dyDescent="0.35">
      <c r="A3" s="1" t="s">
        <v>21</v>
      </c>
      <c r="B3" s="18" t="s">
        <v>24</v>
      </c>
      <c r="C3" s="3">
        <v>2022</v>
      </c>
      <c r="D3" s="10">
        <v>282422</v>
      </c>
      <c r="E3" s="10">
        <v>114443</v>
      </c>
      <c r="F3" s="10">
        <v>75561</v>
      </c>
      <c r="G3" s="10">
        <v>113948</v>
      </c>
      <c r="H3" s="10">
        <v>92417</v>
      </c>
      <c r="I3" s="10">
        <v>48824</v>
      </c>
      <c r="J3" s="10">
        <v>15899</v>
      </c>
    </row>
    <row r="4" spans="1:10" x14ac:dyDescent="0.35">
      <c r="A4" s="1" t="s">
        <v>21</v>
      </c>
      <c r="B4" s="18" t="s">
        <v>24</v>
      </c>
      <c r="C4" s="3">
        <v>2023</v>
      </c>
      <c r="D4" s="10">
        <v>285396</v>
      </c>
      <c r="E4" s="10">
        <v>103082</v>
      </c>
      <c r="F4" s="10">
        <v>84893</v>
      </c>
      <c r="G4" s="10">
        <v>99151</v>
      </c>
      <c r="H4" s="10">
        <v>97421</v>
      </c>
      <c r="I4" s="10">
        <v>54415</v>
      </c>
      <c r="J4" s="10">
        <v>13357</v>
      </c>
    </row>
    <row r="5" spans="1:10" x14ac:dyDescent="0.35">
      <c r="A5" s="1" t="s">
        <v>21</v>
      </c>
      <c r="B5" s="18" t="s">
        <v>24</v>
      </c>
      <c r="C5" s="3">
        <v>2024</v>
      </c>
      <c r="D5" s="10">
        <v>269312</v>
      </c>
      <c r="E5" s="10">
        <v>92035</v>
      </c>
      <c r="F5" s="10">
        <v>87082</v>
      </c>
      <c r="G5" s="10">
        <v>79885</v>
      </c>
      <c r="H5" s="10">
        <v>90195</v>
      </c>
      <c r="I5" s="10">
        <v>49158</v>
      </c>
      <c r="J5" s="10">
        <v>8678</v>
      </c>
    </row>
    <row r="6" spans="1:10" x14ac:dyDescent="0.35">
      <c r="A6" s="1" t="s">
        <v>21</v>
      </c>
      <c r="B6" s="18" t="s">
        <v>24</v>
      </c>
      <c r="C6" s="3">
        <v>2025</v>
      </c>
      <c r="D6" s="10">
        <v>275459</v>
      </c>
      <c r="E6" s="10">
        <v>91169</v>
      </c>
      <c r="F6" s="10">
        <v>94801</v>
      </c>
      <c r="G6" s="10">
        <v>76728</v>
      </c>
      <c r="H6" s="10">
        <v>89488</v>
      </c>
      <c r="I6" s="10">
        <v>44590</v>
      </c>
      <c r="J6" s="10">
        <v>11647</v>
      </c>
    </row>
    <row r="7" spans="1:10" x14ac:dyDescent="0.35">
      <c r="A7" s="1" t="s">
        <v>22</v>
      </c>
      <c r="B7" s="18" t="s">
        <v>24</v>
      </c>
      <c r="C7" s="3">
        <v>2021</v>
      </c>
      <c r="D7" s="4">
        <v>147163</v>
      </c>
      <c r="E7" s="4">
        <v>45610</v>
      </c>
      <c r="F7" s="4">
        <v>66727</v>
      </c>
      <c r="G7" s="4">
        <v>42253</v>
      </c>
      <c r="H7" s="4">
        <v>34826</v>
      </c>
      <c r="I7" s="4">
        <v>14249</v>
      </c>
      <c r="J7" s="4">
        <v>12813</v>
      </c>
    </row>
    <row r="8" spans="1:10" x14ac:dyDescent="0.35">
      <c r="A8" s="1" t="s">
        <v>22</v>
      </c>
      <c r="B8" s="18" t="s">
        <v>24</v>
      </c>
      <c r="C8" s="3">
        <v>2022</v>
      </c>
      <c r="D8" s="4">
        <v>196485</v>
      </c>
      <c r="E8" s="4">
        <v>67297</v>
      </c>
      <c r="F8" s="4">
        <v>72237</v>
      </c>
      <c r="G8" s="4">
        <v>74760</v>
      </c>
      <c r="H8" s="4">
        <v>56951</v>
      </c>
      <c r="I8" s="4">
        <v>33787</v>
      </c>
      <c r="J8" s="4">
        <v>17383</v>
      </c>
    </row>
    <row r="9" spans="1:10" x14ac:dyDescent="0.35">
      <c r="A9" s="1" t="s">
        <v>22</v>
      </c>
      <c r="B9" s="18" t="s">
        <v>24</v>
      </c>
      <c r="C9" s="3">
        <v>2023</v>
      </c>
      <c r="D9" s="4">
        <v>210539</v>
      </c>
      <c r="E9" s="4">
        <v>65695</v>
      </c>
      <c r="F9" s="4">
        <v>80853</v>
      </c>
      <c r="G9" s="4">
        <v>79115</v>
      </c>
      <c r="H9" s="4">
        <v>63991</v>
      </c>
      <c r="I9" s="4">
        <v>33135</v>
      </c>
      <c r="J9" s="4">
        <v>20714</v>
      </c>
    </row>
    <row r="10" spans="1:10" x14ac:dyDescent="0.35">
      <c r="A10" s="1" t="s">
        <v>22</v>
      </c>
      <c r="B10" s="18" t="s">
        <v>24</v>
      </c>
      <c r="C10" s="3">
        <v>2024</v>
      </c>
      <c r="D10" s="4">
        <v>227898</v>
      </c>
      <c r="E10" s="4">
        <v>77669</v>
      </c>
      <c r="F10" s="4">
        <v>87984</v>
      </c>
      <c r="G10" s="4">
        <v>78515</v>
      </c>
      <c r="H10" s="4">
        <v>62245</v>
      </c>
      <c r="I10" s="4">
        <v>37815</v>
      </c>
      <c r="J10" s="4">
        <v>12348</v>
      </c>
    </row>
    <row r="11" spans="1:10" x14ac:dyDescent="0.35">
      <c r="A11" s="1" t="s">
        <v>22</v>
      </c>
      <c r="B11" s="18" t="s">
        <v>24</v>
      </c>
      <c r="C11" s="3">
        <v>2025</v>
      </c>
      <c r="D11" s="4">
        <v>240445</v>
      </c>
      <c r="E11" s="4">
        <v>79496</v>
      </c>
      <c r="F11" s="4">
        <v>98752</v>
      </c>
      <c r="G11" s="4">
        <v>79755</v>
      </c>
      <c r="H11" s="4">
        <v>62197</v>
      </c>
      <c r="I11" s="4">
        <v>34956</v>
      </c>
      <c r="J11" s="4">
        <v>13285</v>
      </c>
    </row>
    <row r="12" spans="1:10" x14ac:dyDescent="0.35">
      <c r="A12" s="1" t="s">
        <v>26</v>
      </c>
      <c r="B12" s="18" t="s">
        <v>24</v>
      </c>
      <c r="C12" s="3">
        <v>2021</v>
      </c>
      <c r="D12" s="12">
        <v>118090</v>
      </c>
      <c r="E12" s="19">
        <f>(4131+41276)</f>
        <v>45407</v>
      </c>
      <c r="F12" s="12">
        <v>37677</v>
      </c>
      <c r="G12" s="12">
        <v>38149</v>
      </c>
      <c r="H12" s="12">
        <v>35007</v>
      </c>
      <c r="I12" s="12">
        <v>15605</v>
      </c>
      <c r="J12" s="12">
        <v>796</v>
      </c>
    </row>
    <row r="13" spans="1:10" x14ac:dyDescent="0.35">
      <c r="A13" s="1" t="s">
        <v>26</v>
      </c>
      <c r="B13" s="18" t="s">
        <v>24</v>
      </c>
      <c r="C13" s="3">
        <v>2022</v>
      </c>
      <c r="D13" s="12">
        <v>120381</v>
      </c>
      <c r="E13" s="12">
        <f>(4131+50081)</f>
        <v>54212</v>
      </c>
      <c r="F13" s="12">
        <v>17284</v>
      </c>
      <c r="G13" s="12">
        <v>38237</v>
      </c>
      <c r="H13" s="12">
        <v>48885</v>
      </c>
      <c r="I13" s="12">
        <v>19840</v>
      </c>
      <c r="J13" s="12">
        <v>786</v>
      </c>
    </row>
    <row r="14" spans="1:10" x14ac:dyDescent="0.35">
      <c r="A14" s="1" t="s">
        <v>26</v>
      </c>
      <c r="B14" s="18" t="s">
        <v>24</v>
      </c>
      <c r="C14" s="3">
        <v>2023</v>
      </c>
      <c r="D14" s="12">
        <v>130782</v>
      </c>
      <c r="E14" s="12">
        <f>(4131+50616)</f>
        <v>54747</v>
      </c>
      <c r="F14" s="12">
        <v>30773</v>
      </c>
      <c r="G14" s="12">
        <v>48163</v>
      </c>
      <c r="H14" s="12">
        <v>45262</v>
      </c>
      <c r="I14" s="12">
        <v>28066</v>
      </c>
      <c r="J14" s="12">
        <v>551</v>
      </c>
    </row>
    <row r="15" spans="1:10" x14ac:dyDescent="0.35">
      <c r="A15" s="1" t="s">
        <v>26</v>
      </c>
      <c r="B15" s="18" t="s">
        <v>24</v>
      </c>
      <c r="C15" s="3">
        <v>2024</v>
      </c>
      <c r="D15" s="12">
        <v>141022</v>
      </c>
      <c r="E15" s="19">
        <f>(4131+52971)</f>
        <v>57102</v>
      </c>
      <c r="F15" s="12">
        <v>36323</v>
      </c>
      <c r="G15" s="12">
        <v>57867</v>
      </c>
      <c r="H15" s="12">
        <v>47598</v>
      </c>
      <c r="I15" s="12">
        <v>33035</v>
      </c>
      <c r="J15" s="12">
        <v>673</v>
      </c>
    </row>
    <row r="16" spans="1:10" x14ac:dyDescent="0.35">
      <c r="A16" s="1" t="s">
        <v>26</v>
      </c>
      <c r="B16" s="18" t="s">
        <v>24</v>
      </c>
      <c r="C16" s="3">
        <v>2025</v>
      </c>
      <c r="D16" s="12">
        <v>136718</v>
      </c>
      <c r="E16" s="12">
        <f>(4131+54775)</f>
        <v>58906</v>
      </c>
      <c r="F16" s="12">
        <v>36934</v>
      </c>
      <c r="G16" s="12">
        <v>51209</v>
      </c>
      <c r="H16" s="12">
        <v>40878</v>
      </c>
      <c r="I16" s="12">
        <v>29498</v>
      </c>
      <c r="J16" s="12">
        <v>967</v>
      </c>
    </row>
    <row r="17" spans="1:10" x14ac:dyDescent="0.35">
      <c r="A17" s="1" t="s">
        <v>23</v>
      </c>
      <c r="B17" s="18" t="s">
        <v>24</v>
      </c>
      <c r="C17" s="3">
        <v>2021</v>
      </c>
      <c r="D17" s="13">
        <v>77840</v>
      </c>
      <c r="E17" s="13">
        <f>(102+31713)</f>
        <v>31815</v>
      </c>
      <c r="F17" s="13">
        <v>29910</v>
      </c>
      <c r="G17" s="13">
        <v>20624</v>
      </c>
      <c r="H17" s="13">
        <v>16116</v>
      </c>
      <c r="I17" s="13">
        <v>5943</v>
      </c>
      <c r="J17" s="13">
        <v>6152</v>
      </c>
    </row>
    <row r="18" spans="1:10" x14ac:dyDescent="0.35">
      <c r="A18" s="1" t="s">
        <v>23</v>
      </c>
      <c r="B18" s="18" t="s">
        <v>24</v>
      </c>
      <c r="C18" s="3">
        <v>2022</v>
      </c>
      <c r="D18" s="13">
        <v>76644</v>
      </c>
      <c r="E18" s="13">
        <f>(101+35524)</f>
        <v>35625</v>
      </c>
      <c r="F18" s="13">
        <v>13502</v>
      </c>
      <c r="G18" s="13">
        <v>28147</v>
      </c>
      <c r="H18" s="13">
        <v>27517</v>
      </c>
      <c r="I18" s="13">
        <v>7281</v>
      </c>
      <c r="J18" s="13">
        <v>3669</v>
      </c>
    </row>
    <row r="19" spans="1:10" x14ac:dyDescent="0.35">
      <c r="A19" s="1" t="s">
        <v>23</v>
      </c>
      <c r="B19" s="18" t="s">
        <v>24</v>
      </c>
      <c r="C19" s="3">
        <v>2023</v>
      </c>
      <c r="D19" s="13">
        <v>69427</v>
      </c>
      <c r="E19" s="13">
        <f>(100+38606)</f>
        <v>38706</v>
      </c>
      <c r="F19" s="13">
        <v>13046</v>
      </c>
      <c r="G19" s="13">
        <v>17108</v>
      </c>
      <c r="H19" s="13">
        <v>17674</v>
      </c>
      <c r="I19" s="13">
        <v>5887</v>
      </c>
      <c r="J19" s="13">
        <v>4717</v>
      </c>
    </row>
    <row r="20" spans="1:10" x14ac:dyDescent="0.35">
      <c r="A20" s="1" t="s">
        <v>23</v>
      </c>
      <c r="B20" s="18" t="s">
        <v>24</v>
      </c>
      <c r="C20" s="3">
        <v>2024</v>
      </c>
      <c r="D20" s="13">
        <v>78676</v>
      </c>
      <c r="E20" s="13">
        <f>(100+44216)</f>
        <v>44316</v>
      </c>
      <c r="F20" s="13">
        <v>16472</v>
      </c>
      <c r="G20" s="13">
        <v>19862</v>
      </c>
      <c r="H20" s="13">
        <v>17888</v>
      </c>
      <c r="I20" s="13">
        <v>7077</v>
      </c>
      <c r="J20" s="13">
        <v>4024</v>
      </c>
    </row>
    <row r="21" spans="1:10" x14ac:dyDescent="0.35">
      <c r="A21" s="1" t="s">
        <v>23</v>
      </c>
      <c r="B21" s="18" t="s">
        <v>24</v>
      </c>
      <c r="C21" s="3">
        <v>2025</v>
      </c>
      <c r="D21" s="13">
        <v>85766</v>
      </c>
      <c r="E21" s="13">
        <f>(101+47084)</f>
        <v>47185</v>
      </c>
      <c r="F21" s="13">
        <v>18406</v>
      </c>
      <c r="G21" s="13">
        <v>17851</v>
      </c>
      <c r="H21" s="13">
        <v>20175</v>
      </c>
      <c r="I21" s="13">
        <v>5610</v>
      </c>
      <c r="J21" s="13">
        <v>4180</v>
      </c>
    </row>
    <row r="22" spans="1:10" x14ac:dyDescent="0.35">
      <c r="A22" s="1" t="s">
        <v>25</v>
      </c>
      <c r="B22" s="18" t="s">
        <v>24</v>
      </c>
      <c r="C22" s="3">
        <v>2021</v>
      </c>
      <c r="D22" s="14">
        <v>3399</v>
      </c>
      <c r="E22" s="14">
        <f>(25+1670)</f>
        <v>1695</v>
      </c>
      <c r="F22" s="14">
        <v>520</v>
      </c>
      <c r="G22" s="14">
        <v>1554</v>
      </c>
      <c r="H22" s="14">
        <v>1184</v>
      </c>
      <c r="I22" s="14">
        <v>760</v>
      </c>
      <c r="J22" s="14">
        <v>358</v>
      </c>
    </row>
    <row r="23" spans="1:10" x14ac:dyDescent="0.35">
      <c r="A23" s="1" t="s">
        <v>25</v>
      </c>
      <c r="B23" s="18" t="s">
        <v>24</v>
      </c>
      <c r="C23" s="3">
        <v>2022</v>
      </c>
      <c r="D23" s="14">
        <v>4452</v>
      </c>
      <c r="E23" s="14">
        <f>(50+2414)</f>
        <v>2464</v>
      </c>
      <c r="F23" s="14">
        <v>581</v>
      </c>
      <c r="G23" s="14">
        <v>2020</v>
      </c>
      <c r="H23" s="14">
        <v>1407</v>
      </c>
      <c r="I23" s="14">
        <v>847</v>
      </c>
      <c r="J23" s="14">
        <v>376</v>
      </c>
    </row>
    <row r="24" spans="1:10" x14ac:dyDescent="0.35">
      <c r="A24" s="1" t="s">
        <v>25</v>
      </c>
      <c r="B24" s="18" t="s">
        <v>24</v>
      </c>
      <c r="C24" s="3">
        <v>2023</v>
      </c>
      <c r="D24" s="14">
        <v>5852</v>
      </c>
      <c r="E24" s="14">
        <f>(55+2950)</f>
        <v>3005</v>
      </c>
      <c r="F24" s="14">
        <v>873</v>
      </c>
      <c r="G24" s="14">
        <v>2801</v>
      </c>
      <c r="H24" s="14">
        <v>1973</v>
      </c>
      <c r="I24" s="14">
        <v>1480</v>
      </c>
      <c r="J24" s="14">
        <v>352</v>
      </c>
    </row>
    <row r="25" spans="1:10" x14ac:dyDescent="0.35">
      <c r="A25" s="1" t="s">
        <v>25</v>
      </c>
      <c r="B25" s="18" t="s">
        <v>24</v>
      </c>
      <c r="C25" s="3">
        <v>2024</v>
      </c>
      <c r="D25" s="14">
        <v>7187</v>
      </c>
      <c r="E25" s="14">
        <f>(56+3549)</f>
        <v>3605</v>
      </c>
      <c r="F25" s="14">
        <v>1144</v>
      </c>
      <c r="G25" s="14">
        <v>3600</v>
      </c>
      <c r="H25" s="14">
        <v>2438</v>
      </c>
      <c r="I25" s="14">
        <v>1638</v>
      </c>
      <c r="J25" s="14">
        <v>348</v>
      </c>
    </row>
    <row r="26" spans="1:10" x14ac:dyDescent="0.35">
      <c r="A26" s="1" t="s">
        <v>25</v>
      </c>
      <c r="B26" s="18" t="s">
        <v>24</v>
      </c>
      <c r="C26" s="3">
        <v>2025</v>
      </c>
      <c r="D26" s="14">
        <v>7596</v>
      </c>
      <c r="E26" s="14">
        <f>(56+4153)</f>
        <v>4209</v>
      </c>
      <c r="F26" s="14">
        <v>634</v>
      </c>
      <c r="G26" s="14">
        <v>3467</v>
      </c>
      <c r="H26" s="14">
        <v>2753</v>
      </c>
      <c r="I26" s="14">
        <v>1623</v>
      </c>
      <c r="J26" s="14">
        <v>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topLeftCell="D1" zoomScale="102" zoomScaleNormal="94" workbookViewId="0">
      <pane ySplit="1" topLeftCell="A11" activePane="bottomLeft" state="frozen"/>
      <selection pane="bottomLeft" activeCell="G26" sqref="G26"/>
    </sheetView>
  </sheetViews>
  <sheetFormatPr defaultRowHeight="14.5" x14ac:dyDescent="0.35"/>
  <cols>
    <col min="1" max="7" width="18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16</v>
      </c>
      <c r="E1" s="2" t="s">
        <v>17</v>
      </c>
      <c r="F1" s="2" t="s">
        <v>18</v>
      </c>
      <c r="G1" s="11" t="s">
        <v>20</v>
      </c>
    </row>
    <row r="2" spans="1:7" x14ac:dyDescent="0.35">
      <c r="A2" s="1" t="s">
        <v>21</v>
      </c>
      <c r="B2" s="18" t="s">
        <v>24</v>
      </c>
      <c r="C2" s="3">
        <v>2021</v>
      </c>
      <c r="D2" s="16">
        <v>44327</v>
      </c>
      <c r="E2" s="16">
        <v>-9437</v>
      </c>
      <c r="F2" s="16">
        <v>-37090</v>
      </c>
      <c r="G2" s="16">
        <v>6534</v>
      </c>
    </row>
    <row r="3" spans="1:7" x14ac:dyDescent="0.35">
      <c r="A3" s="1" t="s">
        <v>21</v>
      </c>
      <c r="B3" s="18" t="s">
        <v>24</v>
      </c>
      <c r="C3" s="3">
        <v>2022</v>
      </c>
      <c r="D3" s="10">
        <v>44381</v>
      </c>
      <c r="E3" s="10">
        <v>-10905</v>
      </c>
      <c r="F3" s="10">
        <v>-23401</v>
      </c>
      <c r="G3" s="10">
        <v>9953</v>
      </c>
    </row>
    <row r="4" spans="1:7" x14ac:dyDescent="0.35">
      <c r="A4" s="1" t="s">
        <v>21</v>
      </c>
      <c r="B4" s="18" t="s">
        <v>24</v>
      </c>
      <c r="C4" s="3">
        <v>2023</v>
      </c>
      <c r="D4" s="10">
        <v>21683</v>
      </c>
      <c r="E4" s="10">
        <v>-18179</v>
      </c>
      <c r="F4" s="10">
        <v>-6981</v>
      </c>
      <c r="G4" s="10">
        <v>13815</v>
      </c>
    </row>
    <row r="5" spans="1:7" x14ac:dyDescent="0.35">
      <c r="A5" s="1" t="s">
        <v>21</v>
      </c>
      <c r="B5" s="18" t="s">
        <v>24</v>
      </c>
      <c r="C5" s="3">
        <v>2024</v>
      </c>
      <c r="D5" s="10">
        <v>20301</v>
      </c>
      <c r="E5" s="10">
        <v>-14253</v>
      </c>
      <c r="F5" s="10">
        <v>-11097</v>
      </c>
      <c r="G5" s="10">
        <v>17732</v>
      </c>
    </row>
    <row r="6" spans="1:7" x14ac:dyDescent="0.35">
      <c r="A6" s="1" t="s">
        <v>21</v>
      </c>
      <c r="B6" s="18" t="s">
        <v>24</v>
      </c>
      <c r="C6" s="3">
        <v>2025</v>
      </c>
      <c r="D6" s="10">
        <v>23138</v>
      </c>
      <c r="E6" s="10">
        <v>-13611</v>
      </c>
      <c r="F6" s="10">
        <v>-7002</v>
      </c>
      <c r="G6" s="10">
        <v>14407</v>
      </c>
    </row>
    <row r="7" spans="1:7" x14ac:dyDescent="0.35">
      <c r="A7" s="1" t="s">
        <v>22</v>
      </c>
      <c r="B7" s="18" t="s">
        <v>24</v>
      </c>
      <c r="C7" s="3">
        <v>2021</v>
      </c>
      <c r="D7" s="4">
        <v>18831</v>
      </c>
      <c r="E7" s="4">
        <v>-9410</v>
      </c>
      <c r="F7" s="4">
        <v>-1444</v>
      </c>
      <c r="G7" s="4">
        <f>(D7-7916)</f>
        <v>10915</v>
      </c>
    </row>
    <row r="8" spans="1:7" x14ac:dyDescent="0.35">
      <c r="A8" s="1" t="s">
        <v>22</v>
      </c>
      <c r="B8" s="18" t="s">
        <v>24</v>
      </c>
      <c r="C8" s="3">
        <v>2022</v>
      </c>
      <c r="D8" s="4">
        <v>26270</v>
      </c>
      <c r="E8" s="4">
        <v>-14748</v>
      </c>
      <c r="F8" s="4">
        <v>-14657</v>
      </c>
      <c r="G8" s="4">
        <f>(D8-16222)</f>
        <v>10048</v>
      </c>
    </row>
    <row r="9" spans="1:7" x14ac:dyDescent="0.35">
      <c r="A9" s="1" t="s">
        <v>22</v>
      </c>
      <c r="B9" s="18" t="s">
        <v>24</v>
      </c>
      <c r="C9" s="3">
        <v>2023</v>
      </c>
      <c r="D9" s="4">
        <v>23323</v>
      </c>
      <c r="E9" s="4">
        <v>-10730</v>
      </c>
      <c r="F9" s="4">
        <v>-5977</v>
      </c>
      <c r="G9" s="4">
        <f>(D9-8574)</f>
        <v>14749</v>
      </c>
    </row>
    <row r="10" spans="1:7" x14ac:dyDescent="0.35">
      <c r="A10" s="1" t="s">
        <v>22</v>
      </c>
      <c r="B10" s="18" t="s">
        <v>24</v>
      </c>
      <c r="C10" s="3">
        <v>2024</v>
      </c>
      <c r="D10" s="4">
        <v>12078</v>
      </c>
      <c r="E10" s="4">
        <v>-14467</v>
      </c>
      <c r="F10" s="4">
        <v>-5005</v>
      </c>
      <c r="G10" s="4">
        <f>(D10+3469)</f>
        <v>15547</v>
      </c>
    </row>
    <row r="11" spans="1:7" x14ac:dyDescent="0.35">
      <c r="A11" s="1" t="s">
        <v>22</v>
      </c>
      <c r="B11" s="18" t="s">
        <v>24</v>
      </c>
      <c r="C11" s="3">
        <v>2025</v>
      </c>
      <c r="D11" s="4">
        <v>20899</v>
      </c>
      <c r="E11" s="4">
        <v>-17012</v>
      </c>
      <c r="F11" s="4">
        <v>-262</v>
      </c>
      <c r="G11" s="4">
        <f>(D11-8264)</f>
        <v>12635</v>
      </c>
    </row>
    <row r="12" spans="1:7" x14ac:dyDescent="0.35">
      <c r="A12" s="1" t="s">
        <v>26</v>
      </c>
      <c r="B12" s="18" t="s">
        <v>24</v>
      </c>
      <c r="C12" s="3">
        <v>2021</v>
      </c>
      <c r="D12" s="12">
        <v>23430</v>
      </c>
      <c r="E12" s="12">
        <v>-3295</v>
      </c>
      <c r="F12" s="12">
        <v>-19808</v>
      </c>
      <c r="G12" s="12">
        <f>(D12-20019)</f>
        <v>3411</v>
      </c>
    </row>
    <row r="13" spans="1:7" x14ac:dyDescent="0.35">
      <c r="A13" s="1" t="s">
        <v>26</v>
      </c>
      <c r="B13" s="18" t="s">
        <v>24</v>
      </c>
      <c r="C13" s="3">
        <v>2022</v>
      </c>
      <c r="D13" s="12">
        <v>30987</v>
      </c>
      <c r="E13" s="12">
        <v>-3976</v>
      </c>
      <c r="F13" s="12">
        <v>-27398</v>
      </c>
      <c r="G13" s="12">
        <f>(D13-27557)</f>
        <v>3430</v>
      </c>
    </row>
    <row r="14" spans="1:7" x14ac:dyDescent="0.35">
      <c r="A14" s="1" t="s">
        <v>26</v>
      </c>
      <c r="B14" s="18" t="s">
        <v>24</v>
      </c>
      <c r="C14" s="3">
        <v>2023</v>
      </c>
      <c r="D14" s="12">
        <v>-5290</v>
      </c>
      <c r="E14" s="12">
        <v>-3371</v>
      </c>
      <c r="F14" s="12">
        <v>8587</v>
      </c>
      <c r="G14" s="12">
        <f>(D14+8812)</f>
        <v>3522</v>
      </c>
    </row>
    <row r="15" spans="1:7" x14ac:dyDescent="0.35">
      <c r="A15" s="1" t="s">
        <v>26</v>
      </c>
      <c r="B15" s="18" t="s">
        <v>24</v>
      </c>
      <c r="C15" s="3">
        <v>2024</v>
      </c>
      <c r="D15" s="12">
        <v>2911</v>
      </c>
      <c r="E15" s="12">
        <v>-4261</v>
      </c>
      <c r="F15" s="12">
        <v>1362</v>
      </c>
      <c r="G15" s="12">
        <f>(D15+1297)</f>
        <v>4208</v>
      </c>
    </row>
    <row r="16" spans="1:7" x14ac:dyDescent="0.35">
      <c r="A16" s="1" t="s">
        <v>26</v>
      </c>
      <c r="B16" s="18" t="s">
        <v>24</v>
      </c>
      <c r="C16" s="3">
        <v>2025</v>
      </c>
      <c r="D16" s="12">
        <v>9914</v>
      </c>
      <c r="E16" s="15">
        <v>-5268</v>
      </c>
      <c r="F16" s="12">
        <v>-4424</v>
      </c>
      <c r="G16" s="12">
        <f>(D16-4537)</f>
        <v>5377</v>
      </c>
    </row>
    <row r="17" spans="1:7" x14ac:dyDescent="0.35">
      <c r="A17" s="1" t="s">
        <v>23</v>
      </c>
      <c r="B17" s="18" t="s">
        <v>24</v>
      </c>
      <c r="C17" s="3">
        <v>2021</v>
      </c>
      <c r="D17" s="13">
        <v>11961</v>
      </c>
      <c r="E17" s="13">
        <v>-1884</v>
      </c>
      <c r="F17" s="13">
        <v>-4612</v>
      </c>
      <c r="G17" s="13">
        <f>(D17-11124)</f>
        <v>837</v>
      </c>
    </row>
    <row r="18" spans="1:7" x14ac:dyDescent="0.35">
      <c r="A18" s="1" t="s">
        <v>23</v>
      </c>
      <c r="B18" s="18" t="s">
        <v>24</v>
      </c>
      <c r="C18" s="3">
        <v>2022</v>
      </c>
      <c r="D18" s="13">
        <v>16048</v>
      </c>
      <c r="E18" s="13">
        <v>-2331</v>
      </c>
      <c r="F18" s="13">
        <v>-15120</v>
      </c>
      <c r="G18" s="13">
        <f>(D18-13176)</f>
        <v>2872</v>
      </c>
    </row>
    <row r="19" spans="1:7" x14ac:dyDescent="0.35">
      <c r="A19" s="1" t="s">
        <v>23</v>
      </c>
      <c r="B19" s="18" t="s">
        <v>24</v>
      </c>
      <c r="C19" s="3">
        <v>2023</v>
      </c>
      <c r="D19" s="13">
        <v>7347</v>
      </c>
      <c r="E19" s="13">
        <v>-4090</v>
      </c>
      <c r="F19" s="13">
        <v>-2500</v>
      </c>
      <c r="G19" s="13">
        <f>(D19-945)</f>
        <v>6402</v>
      </c>
    </row>
    <row r="20" spans="1:7" x14ac:dyDescent="0.35">
      <c r="A20" s="1" t="s">
        <v>23</v>
      </c>
      <c r="B20" s="18" t="s">
        <v>24</v>
      </c>
      <c r="C20" s="3">
        <v>2024</v>
      </c>
      <c r="D20" s="13">
        <v>6008</v>
      </c>
      <c r="E20" s="13">
        <v>-8344</v>
      </c>
      <c r="F20" s="13">
        <v>1381</v>
      </c>
      <c r="G20" s="13">
        <f>(D20+2418)</f>
        <v>8426</v>
      </c>
    </row>
    <row r="21" spans="1:7" x14ac:dyDescent="0.35">
      <c r="A21" s="1" t="s">
        <v>23</v>
      </c>
      <c r="B21" s="18" t="s">
        <v>24</v>
      </c>
      <c r="C21" s="3">
        <v>2025</v>
      </c>
      <c r="D21" s="13">
        <v>10824</v>
      </c>
      <c r="E21" s="13">
        <v>-12323</v>
      </c>
      <c r="F21" s="13">
        <v>809</v>
      </c>
      <c r="G21" s="13">
        <f>(D21-334)</f>
        <v>10490</v>
      </c>
    </row>
    <row r="22" spans="1:7" x14ac:dyDescent="0.35">
      <c r="A22" s="1" t="s">
        <v>25</v>
      </c>
      <c r="B22" s="18" t="s">
        <v>24</v>
      </c>
      <c r="C22" s="3">
        <v>2021</v>
      </c>
      <c r="D22" s="20">
        <v>977</v>
      </c>
      <c r="E22" s="14">
        <v>-647</v>
      </c>
      <c r="F22" s="14">
        <v>-359</v>
      </c>
      <c r="G22" s="14">
        <f>(D22-697)</f>
        <v>280</v>
      </c>
    </row>
    <row r="23" spans="1:7" x14ac:dyDescent="0.35">
      <c r="A23" s="1" t="s">
        <v>25</v>
      </c>
      <c r="B23" s="18" t="s">
        <v>24</v>
      </c>
      <c r="C23" s="3">
        <v>2022</v>
      </c>
      <c r="D23" s="20">
        <v>652</v>
      </c>
      <c r="E23" s="14">
        <v>-530</v>
      </c>
      <c r="F23" s="14">
        <v>26</v>
      </c>
      <c r="G23" s="14">
        <f>(D23-65)</f>
        <v>587</v>
      </c>
    </row>
    <row r="24" spans="1:7" x14ac:dyDescent="0.35">
      <c r="A24" s="1" t="s">
        <v>25</v>
      </c>
      <c r="B24" s="18" t="s">
        <v>24</v>
      </c>
      <c r="C24" s="3">
        <v>2023</v>
      </c>
      <c r="D24" s="20">
        <v>691</v>
      </c>
      <c r="E24" s="14">
        <v>-876</v>
      </c>
      <c r="F24" s="14">
        <v>143</v>
      </c>
      <c r="G24" s="14">
        <f>(D24+151)</f>
        <v>842</v>
      </c>
    </row>
    <row r="25" spans="1:7" x14ac:dyDescent="0.35">
      <c r="A25" s="1" t="s">
        <v>25</v>
      </c>
      <c r="B25" s="18" t="s">
        <v>24</v>
      </c>
      <c r="C25" s="3">
        <v>2024</v>
      </c>
      <c r="D25" s="20">
        <v>1112</v>
      </c>
      <c r="E25" s="14">
        <v>-916</v>
      </c>
      <c r="F25" s="14">
        <v>27</v>
      </c>
      <c r="G25" s="14">
        <f>(D25-450)</f>
        <v>662</v>
      </c>
    </row>
    <row r="26" spans="1:7" x14ac:dyDescent="0.35">
      <c r="A26" s="1" t="s">
        <v>25</v>
      </c>
      <c r="B26" s="18" t="s">
        <v>24</v>
      </c>
      <c r="C26" s="3">
        <v>2025</v>
      </c>
      <c r="D26" s="20">
        <v>1213</v>
      </c>
      <c r="E26" s="14">
        <v>-375</v>
      </c>
      <c r="F26" s="14">
        <v>-815</v>
      </c>
      <c r="G26" s="14">
        <f>(D26-562)</f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 Vemula</cp:lastModifiedBy>
  <dcterms:created xsi:type="dcterms:W3CDTF">2026-07-18T11:37:23Z</dcterms:created>
  <dcterms:modified xsi:type="dcterms:W3CDTF">2026-07-31T06:08:53Z</dcterms:modified>
</cp:coreProperties>
</file>