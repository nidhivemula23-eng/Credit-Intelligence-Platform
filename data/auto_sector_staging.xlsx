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vemul\OneDrive\Desktop\sql\"/>
    </mc:Choice>
  </mc:AlternateContent>
  <xr:revisionPtr revIDLastSave="0" documentId="13_ncr:1_{3CA63956-D8C5-42C0-BE68-1415716F9D8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Income_Statement" sheetId="2" r:id="rId1"/>
    <sheet name="Balance_Sheet" sheetId="3" r:id="rId2"/>
    <sheet name="Cash_Flow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2" l="1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3" i="2"/>
  <c r="E4" i="2"/>
  <c r="E5" i="2"/>
  <c r="E6" i="2"/>
  <c r="E2" i="2"/>
</calcChain>
</file>

<file path=xl/sharedStrings.xml><?xml version="1.0" encoding="utf-8"?>
<sst xmlns="http://schemas.openxmlformats.org/spreadsheetml/2006/main" count="177" uniqueCount="27">
  <si>
    <t>company_name</t>
  </si>
  <si>
    <t>sector</t>
  </si>
  <si>
    <t>fiscal_year</t>
  </si>
  <si>
    <t>revenue</t>
  </si>
  <si>
    <t>ebitda</t>
  </si>
  <si>
    <t>ebit</t>
  </si>
  <si>
    <t>interest_expense</t>
  </si>
  <si>
    <t>depreciation</t>
  </si>
  <si>
    <t>net_profit</t>
  </si>
  <si>
    <t>Auto</t>
  </si>
  <si>
    <t>Maruti Suzuki India</t>
  </si>
  <si>
    <t>Mahindra &amp; Mahindra</t>
  </si>
  <si>
    <t>Bajaj Auto</t>
  </si>
  <si>
    <t>Hero MotoCorp</t>
  </si>
  <si>
    <t>total_assets</t>
  </si>
  <si>
    <t>total_equity</t>
  </si>
  <si>
    <t>total_debt</t>
  </si>
  <si>
    <t>current_assets</t>
  </si>
  <si>
    <t>current_liabilities</t>
  </si>
  <si>
    <t>inventory</t>
  </si>
  <si>
    <t>cash_and_equivalents</t>
  </si>
  <si>
    <t>cfo</t>
  </si>
  <si>
    <t>cfi</t>
  </si>
  <si>
    <t>cff</t>
  </si>
  <si>
    <t>Ashok Leyland</t>
  </si>
  <si>
    <t>tax (pbt-eat)</t>
  </si>
  <si>
    <t>capex(cfo-fcf)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</si>
</sst>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Arial"/>
    </font>
    <font>
      <b/>
      <sz val="11"/>
      <color rgb="FFFFFFFF"/>
      <name val="Arial"/>
    </font>
    <font>
      <sz val="11"/>
      <name val="Arial"/>
    </font>
    <font>
      <i/>
      <sz val="11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b/>
      <sz val="11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00"/>
        <bgColor rgb="FFFFFF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FFFF00"/>
      </patternFill>
    </fill>
    <fill>
      <patternFill patternType="solid">
        <fgColor theme="5" tint="0.59999389629810485"/>
        <bgColor rgb="FFFFFF00"/>
      </patternFill>
    </fill>
    <fill>
      <patternFill patternType="solid">
        <fgColor theme="6"/>
        <bgColor rgb="FFFFFF00"/>
      </patternFill>
    </fill>
    <fill>
      <patternFill patternType="solid">
        <fgColor theme="7" tint="0.39997558519241921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3" fillId="3" borderId="0" xfId="0" applyFont="1" applyFill="1"/>
    <xf numFmtId="0" fontId="6" fillId="2" borderId="0" xfId="0" applyFont="1" applyFill="1" applyAlignment="1">
      <alignment horizontal="center"/>
    </xf>
    <xf numFmtId="0" fontId="4" fillId="4" borderId="0" xfId="0" applyFont="1" applyFill="1"/>
    <xf numFmtId="0" fontId="5" fillId="5" borderId="0" xfId="0" applyFont="1" applyFill="1"/>
    <xf numFmtId="3" fontId="5" fillId="5" borderId="0" xfId="0" applyNumberFormat="1" applyFont="1" applyFill="1"/>
    <xf numFmtId="0" fontId="1" fillId="3" borderId="0" xfId="0" applyFont="1" applyFill="1"/>
    <xf numFmtId="0" fontId="3" fillId="5" borderId="0" xfId="0" applyFont="1" applyFill="1"/>
    <xf numFmtId="0" fontId="7" fillId="2" borderId="0" xfId="0" applyFont="1" applyFill="1" applyAlignment="1">
      <alignment horizontal="center"/>
    </xf>
    <xf numFmtId="0" fontId="3" fillId="6" borderId="0" xfId="0" applyFont="1" applyFill="1"/>
    <xf numFmtId="0" fontId="3" fillId="7" borderId="0" xfId="0" applyFont="1" applyFill="1"/>
    <xf numFmtId="0" fontId="3" fillId="8" borderId="0" xfId="0" applyFont="1" applyFill="1"/>
    <xf numFmtId="3" fontId="3" fillId="6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tabSelected="1" zoomScale="102" workbookViewId="0">
      <pane ySplit="1" topLeftCell="A2" activePane="bottomLeft" state="frozen"/>
      <selection pane="bottomLeft" activeCell="E22" sqref="E22"/>
    </sheetView>
  </sheetViews>
  <sheetFormatPr defaultRowHeight="14.5" x14ac:dyDescent="0.35"/>
  <cols>
    <col min="1" max="10" width="18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25</v>
      </c>
      <c r="J1" s="5" t="s">
        <v>8</v>
      </c>
    </row>
    <row r="2" spans="1:10" x14ac:dyDescent="0.35">
      <c r="A2" s="1" t="s">
        <v>24</v>
      </c>
      <c r="B2" s="3" t="s">
        <v>9</v>
      </c>
      <c r="C2" s="3">
        <v>2021</v>
      </c>
      <c r="D2" s="6">
        <v>19454</v>
      </c>
      <c r="E2" s="6">
        <f>(F2+H2)</f>
        <v>3298</v>
      </c>
      <c r="F2" s="6">
        <v>2462</v>
      </c>
      <c r="G2" s="6">
        <v>1901</v>
      </c>
      <c r="H2" s="6">
        <v>836</v>
      </c>
      <c r="I2" s="6">
        <v>3</v>
      </c>
      <c r="J2" s="6">
        <v>-70</v>
      </c>
    </row>
    <row r="3" spans="1:10" x14ac:dyDescent="0.35">
      <c r="A3" s="1" t="s">
        <v>24</v>
      </c>
      <c r="B3" s="3" t="s">
        <v>9</v>
      </c>
      <c r="C3" s="3">
        <v>2022</v>
      </c>
      <c r="D3" s="7">
        <v>26237</v>
      </c>
      <c r="E3" s="6">
        <f t="shared" ref="E3:E26" si="0">(F3+H3)</f>
        <v>3631</v>
      </c>
      <c r="F3" s="7">
        <v>2765</v>
      </c>
      <c r="G3" s="7">
        <v>1869</v>
      </c>
      <c r="H3" s="7">
        <v>866</v>
      </c>
      <c r="I3" s="7">
        <v>85</v>
      </c>
      <c r="J3" s="7">
        <v>-285</v>
      </c>
    </row>
    <row r="4" spans="1:10" x14ac:dyDescent="0.35">
      <c r="A4" s="1" t="s">
        <v>24</v>
      </c>
      <c r="B4" s="3" t="s">
        <v>9</v>
      </c>
      <c r="C4" s="3">
        <v>2023</v>
      </c>
      <c r="D4" s="7">
        <v>41673</v>
      </c>
      <c r="E4" s="6">
        <f t="shared" si="0"/>
        <v>5993</v>
      </c>
      <c r="F4" s="7">
        <v>5093</v>
      </c>
      <c r="G4" s="7">
        <v>2094</v>
      </c>
      <c r="H4" s="7">
        <v>900</v>
      </c>
      <c r="I4" s="7">
        <v>906</v>
      </c>
      <c r="J4" s="7">
        <v>1362</v>
      </c>
    </row>
    <row r="5" spans="1:10" x14ac:dyDescent="0.35">
      <c r="A5" s="1" t="s">
        <v>24</v>
      </c>
      <c r="B5" s="3" t="s">
        <v>9</v>
      </c>
      <c r="C5" s="3">
        <v>2024</v>
      </c>
      <c r="D5" s="8">
        <v>45703</v>
      </c>
      <c r="E5" s="6">
        <f t="shared" si="0"/>
        <v>8783</v>
      </c>
      <c r="F5" s="7">
        <v>7856</v>
      </c>
      <c r="G5" s="7">
        <v>2982</v>
      </c>
      <c r="H5" s="7">
        <v>927</v>
      </c>
      <c r="I5" s="7">
        <v>1410</v>
      </c>
      <c r="J5" s="7">
        <v>2696</v>
      </c>
    </row>
    <row r="6" spans="1:10" x14ac:dyDescent="0.35">
      <c r="A6" s="1" t="s">
        <v>24</v>
      </c>
      <c r="B6" s="3" t="s">
        <v>9</v>
      </c>
      <c r="C6" s="3">
        <v>2025</v>
      </c>
      <c r="D6" s="7">
        <v>42333</v>
      </c>
      <c r="E6" s="6">
        <f t="shared" si="0"/>
        <v>4093</v>
      </c>
      <c r="F6" s="7">
        <v>3006</v>
      </c>
      <c r="G6" s="7">
        <v>3930</v>
      </c>
      <c r="H6" s="7">
        <v>1087</v>
      </c>
      <c r="I6" s="7">
        <v>1213</v>
      </c>
      <c r="J6" s="7">
        <v>3383</v>
      </c>
    </row>
    <row r="7" spans="1:10" x14ac:dyDescent="0.35">
      <c r="A7" s="3" t="s">
        <v>10</v>
      </c>
      <c r="B7" s="3" t="s">
        <v>9</v>
      </c>
      <c r="C7" s="3">
        <v>2021</v>
      </c>
      <c r="D7" s="4">
        <v>70372</v>
      </c>
      <c r="E7" s="4">
        <f t="shared" si="0"/>
        <v>8445</v>
      </c>
      <c r="F7" s="4">
        <v>5411</v>
      </c>
      <c r="G7" s="4">
        <v>102</v>
      </c>
      <c r="H7" s="4">
        <v>3034</v>
      </c>
      <c r="I7" s="9">
        <v>932</v>
      </c>
      <c r="J7" s="4">
        <v>4389</v>
      </c>
    </row>
    <row r="8" spans="1:10" x14ac:dyDescent="0.35">
      <c r="A8" s="3" t="s">
        <v>10</v>
      </c>
      <c r="B8" s="3" t="s">
        <v>9</v>
      </c>
      <c r="C8" s="3">
        <v>2022</v>
      </c>
      <c r="D8" s="4">
        <v>88330</v>
      </c>
      <c r="E8" s="4">
        <f t="shared" si="0"/>
        <v>8541</v>
      </c>
      <c r="F8" s="4">
        <v>5752</v>
      </c>
      <c r="G8" s="4">
        <v>127</v>
      </c>
      <c r="H8" s="4">
        <v>2789</v>
      </c>
      <c r="I8" s="4">
        <v>817</v>
      </c>
      <c r="J8" s="4">
        <v>3880</v>
      </c>
    </row>
    <row r="9" spans="1:10" x14ac:dyDescent="0.35">
      <c r="A9" s="3" t="s">
        <v>10</v>
      </c>
      <c r="B9" s="3" t="s">
        <v>9</v>
      </c>
      <c r="C9" s="3">
        <v>2023</v>
      </c>
      <c r="D9" s="4">
        <v>117571</v>
      </c>
      <c r="E9" s="4">
        <f t="shared" si="0"/>
        <v>13855</v>
      </c>
      <c r="F9" s="4">
        <v>11029</v>
      </c>
      <c r="G9" s="4">
        <v>187</v>
      </c>
      <c r="H9" s="4">
        <v>2826</v>
      </c>
      <c r="I9" s="4">
        <v>2112</v>
      </c>
      <c r="J9" s="4">
        <v>8211</v>
      </c>
    </row>
    <row r="10" spans="1:10" x14ac:dyDescent="0.35">
      <c r="A10" s="3" t="s">
        <v>10</v>
      </c>
      <c r="B10" s="3" t="s">
        <v>9</v>
      </c>
      <c r="C10" s="3">
        <v>2024</v>
      </c>
      <c r="D10" s="4">
        <v>141858</v>
      </c>
      <c r="E10" s="4">
        <f t="shared" si="0"/>
        <v>23882</v>
      </c>
      <c r="F10" s="4">
        <v>18626</v>
      </c>
      <c r="G10" s="4">
        <v>194</v>
      </c>
      <c r="H10" s="4">
        <v>5256</v>
      </c>
      <c r="I10" s="4">
        <v>3936</v>
      </c>
      <c r="J10" s="4">
        <v>13488</v>
      </c>
    </row>
    <row r="11" spans="1:10" x14ac:dyDescent="0.35">
      <c r="A11" s="3" t="s">
        <v>10</v>
      </c>
      <c r="B11" s="3" t="s">
        <v>9</v>
      </c>
      <c r="C11" s="3">
        <v>2025</v>
      </c>
      <c r="D11" s="4">
        <v>152913</v>
      </c>
      <c r="E11" s="4">
        <f t="shared" si="0"/>
        <v>25832</v>
      </c>
      <c r="F11" s="4">
        <v>20224</v>
      </c>
      <c r="G11" s="4">
        <v>194</v>
      </c>
      <c r="H11" s="4">
        <v>5608</v>
      </c>
      <c r="I11" s="4">
        <v>5120</v>
      </c>
      <c r="J11" s="4">
        <v>14500</v>
      </c>
    </row>
    <row r="12" spans="1:10" x14ac:dyDescent="0.35">
      <c r="A12" s="3" t="s">
        <v>11</v>
      </c>
      <c r="B12" s="3" t="s">
        <v>9</v>
      </c>
      <c r="C12" s="3">
        <v>2021</v>
      </c>
      <c r="D12" s="12">
        <v>74278</v>
      </c>
      <c r="E12" s="12">
        <f t="shared" si="0"/>
        <v>14865</v>
      </c>
      <c r="F12" s="12">
        <v>11487</v>
      </c>
      <c r="G12" s="12">
        <v>6102</v>
      </c>
      <c r="H12" s="12">
        <v>3378</v>
      </c>
      <c r="I12" s="12">
        <v>1646</v>
      </c>
      <c r="J12" s="12">
        <v>1512</v>
      </c>
    </row>
    <row r="13" spans="1:10" x14ac:dyDescent="0.35">
      <c r="A13" s="3" t="s">
        <v>11</v>
      </c>
      <c r="B13" s="3" t="s">
        <v>9</v>
      </c>
      <c r="C13" s="3">
        <v>2022</v>
      </c>
      <c r="D13" s="12">
        <v>90171</v>
      </c>
      <c r="E13" s="12">
        <f t="shared" si="0"/>
        <v>18191</v>
      </c>
      <c r="F13" s="12">
        <v>14683</v>
      </c>
      <c r="G13" s="12">
        <v>5018</v>
      </c>
      <c r="H13" s="12">
        <v>3508</v>
      </c>
      <c r="I13" s="12">
        <v>2109</v>
      </c>
      <c r="J13" s="12">
        <v>7253</v>
      </c>
    </row>
    <row r="14" spans="1:10" x14ac:dyDescent="0.35">
      <c r="A14" s="3" t="s">
        <v>11</v>
      </c>
      <c r="B14" s="3" t="s">
        <v>9</v>
      </c>
      <c r="C14" s="3">
        <v>2023</v>
      </c>
      <c r="D14" s="12">
        <v>121362</v>
      </c>
      <c r="E14" s="12">
        <f t="shared" si="0"/>
        <v>24682</v>
      </c>
      <c r="F14" s="12">
        <v>20325</v>
      </c>
      <c r="G14" s="12">
        <v>5830</v>
      </c>
      <c r="H14" s="12">
        <v>4357</v>
      </c>
      <c r="I14" s="12">
        <v>2686</v>
      </c>
      <c r="J14" s="12">
        <v>11374</v>
      </c>
    </row>
    <row r="15" spans="1:10" x14ac:dyDescent="0.35">
      <c r="A15" s="3" t="s">
        <v>11</v>
      </c>
      <c r="B15" s="3" t="s">
        <v>9</v>
      </c>
      <c r="C15" s="3">
        <v>2024</v>
      </c>
      <c r="D15" s="12">
        <v>139078</v>
      </c>
      <c r="E15" s="12">
        <f t="shared" si="0"/>
        <v>29616</v>
      </c>
      <c r="F15" s="12">
        <v>24892</v>
      </c>
      <c r="G15" s="12">
        <v>7488</v>
      </c>
      <c r="H15" s="12">
        <v>4724</v>
      </c>
      <c r="I15" s="12">
        <v>3708</v>
      </c>
      <c r="J15" s="12">
        <v>12270</v>
      </c>
    </row>
    <row r="16" spans="1:10" x14ac:dyDescent="0.35">
      <c r="A16" s="3" t="s">
        <v>11</v>
      </c>
      <c r="B16" s="3" t="s">
        <v>9</v>
      </c>
      <c r="C16" s="3">
        <v>2025</v>
      </c>
      <c r="D16" s="12">
        <v>159211</v>
      </c>
      <c r="E16" s="12">
        <f t="shared" si="0"/>
        <v>36592</v>
      </c>
      <c r="F16" s="12">
        <v>30518</v>
      </c>
      <c r="G16" s="12">
        <v>9083</v>
      </c>
      <c r="H16" s="12">
        <v>6074</v>
      </c>
      <c r="I16" s="12">
        <v>5007</v>
      </c>
      <c r="J16" s="12">
        <v>14073</v>
      </c>
    </row>
    <row r="17" spans="1:10" x14ac:dyDescent="0.35">
      <c r="A17" s="3" t="s">
        <v>12</v>
      </c>
      <c r="B17" s="3" t="s">
        <v>9</v>
      </c>
      <c r="C17" s="3">
        <v>2021</v>
      </c>
      <c r="D17" s="13">
        <v>27741</v>
      </c>
      <c r="E17" s="13">
        <f t="shared" si="0"/>
        <v>5197</v>
      </c>
      <c r="F17" s="13">
        <v>4938</v>
      </c>
      <c r="G17" s="13">
        <v>7</v>
      </c>
      <c r="H17" s="13">
        <v>259</v>
      </c>
      <c r="I17" s="13">
        <v>1384</v>
      </c>
      <c r="J17" s="13">
        <v>4857</v>
      </c>
    </row>
    <row r="18" spans="1:10" x14ac:dyDescent="0.35">
      <c r="A18" s="3" t="s">
        <v>12</v>
      </c>
      <c r="B18" s="3" t="s">
        <v>9</v>
      </c>
      <c r="C18" s="3">
        <v>2022</v>
      </c>
      <c r="D18" s="13">
        <v>33145</v>
      </c>
      <c r="E18" s="13">
        <f t="shared" si="0"/>
        <v>5529</v>
      </c>
      <c r="F18" s="13">
        <v>5259</v>
      </c>
      <c r="G18" s="13">
        <v>9</v>
      </c>
      <c r="H18" s="13">
        <v>270</v>
      </c>
      <c r="I18" s="13">
        <v>1486</v>
      </c>
      <c r="J18" s="13">
        <v>6166</v>
      </c>
    </row>
    <row r="19" spans="1:10" x14ac:dyDescent="0.35">
      <c r="A19" s="3" t="s">
        <v>12</v>
      </c>
      <c r="B19" s="3" t="s">
        <v>9</v>
      </c>
      <c r="C19" s="3">
        <v>2023</v>
      </c>
      <c r="D19" s="13">
        <v>36455</v>
      </c>
      <c r="E19" s="13">
        <f t="shared" si="0"/>
        <v>6751</v>
      </c>
      <c r="F19" s="13">
        <v>6465</v>
      </c>
      <c r="G19" s="13">
        <v>40</v>
      </c>
      <c r="H19" s="13">
        <v>286</v>
      </c>
      <c r="I19" s="13">
        <v>1782</v>
      </c>
      <c r="J19" s="13">
        <v>6060</v>
      </c>
    </row>
    <row r="20" spans="1:10" x14ac:dyDescent="0.35">
      <c r="A20" s="3" t="s">
        <v>12</v>
      </c>
      <c r="B20" s="3" t="s">
        <v>9</v>
      </c>
      <c r="C20" s="3">
        <v>2024</v>
      </c>
      <c r="D20" s="13">
        <v>44870</v>
      </c>
      <c r="E20" s="13">
        <f t="shared" si="0"/>
        <v>9130</v>
      </c>
      <c r="F20" s="13">
        <v>8765</v>
      </c>
      <c r="G20" s="13">
        <v>60</v>
      </c>
      <c r="H20" s="13">
        <v>365</v>
      </c>
      <c r="I20" s="13">
        <v>2332</v>
      </c>
      <c r="J20" s="13">
        <v>7708</v>
      </c>
    </row>
    <row r="21" spans="1:10" x14ac:dyDescent="0.35">
      <c r="A21" s="3" t="s">
        <v>12</v>
      </c>
      <c r="B21" s="3" t="s">
        <v>9</v>
      </c>
      <c r="C21" s="3">
        <v>2025</v>
      </c>
      <c r="D21" s="13">
        <v>50995</v>
      </c>
      <c r="E21" s="13">
        <f t="shared" si="0"/>
        <v>9969</v>
      </c>
      <c r="F21" s="13">
        <v>9555</v>
      </c>
      <c r="G21" s="13">
        <v>389</v>
      </c>
      <c r="H21" s="13">
        <v>414</v>
      </c>
      <c r="I21" s="13">
        <v>2899</v>
      </c>
      <c r="J21" s="13">
        <v>7325</v>
      </c>
    </row>
    <row r="22" spans="1:10" x14ac:dyDescent="0.35">
      <c r="A22" s="3" t="s">
        <v>13</v>
      </c>
      <c r="B22" s="3" t="s">
        <v>9</v>
      </c>
      <c r="C22" s="3">
        <v>2021</v>
      </c>
      <c r="D22" s="14">
        <v>30959</v>
      </c>
      <c r="E22" s="14">
        <f t="shared" si="0"/>
        <v>4773</v>
      </c>
      <c r="F22" s="14">
        <v>4058</v>
      </c>
      <c r="G22" s="14">
        <v>46</v>
      </c>
      <c r="H22" s="14">
        <v>715</v>
      </c>
      <c r="I22" s="14">
        <v>913</v>
      </c>
      <c r="J22" s="14">
        <v>2936</v>
      </c>
    </row>
    <row r="23" spans="1:10" x14ac:dyDescent="0.35">
      <c r="A23" s="3" t="s">
        <v>13</v>
      </c>
      <c r="B23" s="3" t="s">
        <v>9</v>
      </c>
      <c r="C23" s="3">
        <v>2022</v>
      </c>
      <c r="D23" s="14">
        <v>29551</v>
      </c>
      <c r="E23" s="14">
        <f t="shared" si="0"/>
        <v>3946</v>
      </c>
      <c r="F23" s="14">
        <v>3256</v>
      </c>
      <c r="G23" s="14">
        <v>53</v>
      </c>
      <c r="H23" s="14">
        <v>690</v>
      </c>
      <c r="I23" s="14">
        <v>729</v>
      </c>
      <c r="J23" s="14">
        <v>2329</v>
      </c>
    </row>
    <row r="24" spans="1:10" x14ac:dyDescent="0.35">
      <c r="A24" s="3" t="s">
        <v>13</v>
      </c>
      <c r="B24" s="3" t="s">
        <v>9</v>
      </c>
      <c r="C24" s="3">
        <v>2023</v>
      </c>
      <c r="D24" s="14">
        <v>34158</v>
      </c>
      <c r="E24" s="14">
        <f t="shared" si="0"/>
        <v>4796</v>
      </c>
      <c r="F24" s="14">
        <v>4099</v>
      </c>
      <c r="G24" s="14">
        <v>105</v>
      </c>
      <c r="H24" s="14">
        <v>697</v>
      </c>
      <c r="I24" s="14">
        <v>1064</v>
      </c>
      <c r="J24" s="14">
        <v>2800</v>
      </c>
    </row>
    <row r="25" spans="1:10" x14ac:dyDescent="0.35">
      <c r="A25" s="3" t="s">
        <v>13</v>
      </c>
      <c r="B25" s="3" t="s">
        <v>9</v>
      </c>
      <c r="C25" s="3">
        <v>2024</v>
      </c>
      <c r="D25" s="14">
        <v>37789</v>
      </c>
      <c r="E25" s="14">
        <f t="shared" si="0"/>
        <v>5992</v>
      </c>
      <c r="F25" s="14">
        <v>5235</v>
      </c>
      <c r="G25" s="14">
        <v>76</v>
      </c>
      <c r="H25" s="14">
        <v>757</v>
      </c>
      <c r="I25" s="14">
        <v>1348</v>
      </c>
      <c r="J25" s="14">
        <v>3742</v>
      </c>
    </row>
    <row r="26" spans="1:10" x14ac:dyDescent="0.35">
      <c r="A26" s="3" t="s">
        <v>13</v>
      </c>
      <c r="B26" s="3" t="s">
        <v>9</v>
      </c>
      <c r="C26" s="3">
        <v>2025</v>
      </c>
      <c r="D26" s="14">
        <v>40923</v>
      </c>
      <c r="E26" s="14">
        <f t="shared" si="0"/>
        <v>6614</v>
      </c>
      <c r="F26" s="14">
        <v>5789</v>
      </c>
      <c r="G26" s="14">
        <v>71</v>
      </c>
      <c r="H26" s="14">
        <v>825</v>
      </c>
      <c r="I26" s="14">
        <v>1558</v>
      </c>
      <c r="J26" s="14">
        <v>4376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6"/>
  <sheetViews>
    <sheetView topLeftCell="E1" zoomScale="63" zoomScaleNormal="63" workbookViewId="0">
      <pane ySplit="1" topLeftCell="A5" activePane="bottomLeft" state="frozen"/>
      <selection pane="bottomLeft" activeCell="I26" sqref="I26"/>
    </sheetView>
  </sheetViews>
  <sheetFormatPr defaultRowHeight="14.5" x14ac:dyDescent="0.35"/>
  <cols>
    <col min="1" max="9" width="18" customWidth="1"/>
    <col min="10" max="10" width="25.453125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</row>
    <row r="2" spans="1:10" x14ac:dyDescent="0.35">
      <c r="A2" s="1" t="s">
        <v>24</v>
      </c>
      <c r="B2" s="3" t="s">
        <v>9</v>
      </c>
      <c r="C2" s="3">
        <v>2021</v>
      </c>
      <c r="D2" s="6">
        <v>42058</v>
      </c>
      <c r="E2" s="6">
        <v>7862</v>
      </c>
      <c r="F2" s="6">
        <v>24077</v>
      </c>
      <c r="G2" s="6">
        <v>32143</v>
      </c>
      <c r="H2" s="6">
        <v>10119</v>
      </c>
      <c r="I2" s="6">
        <v>2496</v>
      </c>
      <c r="J2" s="6">
        <v>1779</v>
      </c>
    </row>
    <row r="3" spans="1:10" x14ac:dyDescent="0.35">
      <c r="A3" s="1" t="s">
        <v>24</v>
      </c>
      <c r="B3" s="3" t="s">
        <v>9</v>
      </c>
      <c r="C3" s="3">
        <v>2022</v>
      </c>
      <c r="D3" s="10">
        <v>43574</v>
      </c>
      <c r="E3" s="10">
        <v>7304</v>
      </c>
      <c r="F3" s="10">
        <v>24145</v>
      </c>
      <c r="G3" s="10">
        <v>32787</v>
      </c>
      <c r="H3" s="10">
        <v>12125</v>
      </c>
      <c r="I3" s="10">
        <v>2541</v>
      </c>
      <c r="J3" s="10">
        <v>2138</v>
      </c>
    </row>
    <row r="4" spans="1:10" x14ac:dyDescent="0.35">
      <c r="A4" s="1" t="s">
        <v>24</v>
      </c>
      <c r="B4" s="3" t="s">
        <v>9</v>
      </c>
      <c r="C4" s="3">
        <v>2023</v>
      </c>
      <c r="D4" s="10">
        <v>54679</v>
      </c>
      <c r="E4" s="10">
        <v>8554</v>
      </c>
      <c r="F4" s="10">
        <v>31161</v>
      </c>
      <c r="G4" s="10">
        <v>41430</v>
      </c>
      <c r="H4" s="10">
        <v>14965</v>
      </c>
      <c r="I4" s="10">
        <v>3440</v>
      </c>
      <c r="J4" s="10">
        <v>2187</v>
      </c>
    </row>
    <row r="5" spans="1:10" x14ac:dyDescent="0.35">
      <c r="A5" s="1" t="s">
        <v>24</v>
      </c>
      <c r="B5" s="3" t="s">
        <v>9</v>
      </c>
      <c r="C5" s="3">
        <v>2024</v>
      </c>
      <c r="D5" s="10">
        <v>67595</v>
      </c>
      <c r="E5" s="10">
        <v>9005</v>
      </c>
      <c r="F5" s="10">
        <v>40802</v>
      </c>
      <c r="G5" s="10">
        <v>56695</v>
      </c>
      <c r="H5" s="10">
        <v>17788</v>
      </c>
      <c r="I5" s="10">
        <v>4008</v>
      </c>
      <c r="J5" s="10">
        <v>7080</v>
      </c>
    </row>
    <row r="6" spans="1:10" x14ac:dyDescent="0.35">
      <c r="A6" s="1" t="s">
        <v>24</v>
      </c>
      <c r="B6" s="3" t="s">
        <v>9</v>
      </c>
      <c r="C6" s="3">
        <v>2025</v>
      </c>
      <c r="D6" s="10">
        <v>81546</v>
      </c>
      <c r="E6" s="10">
        <v>12232</v>
      </c>
      <c r="F6" s="10">
        <v>49962</v>
      </c>
      <c r="G6" s="10">
        <v>65523</v>
      </c>
      <c r="H6" s="10">
        <v>19352</v>
      </c>
      <c r="I6" s="10">
        <v>3986</v>
      </c>
      <c r="J6" s="10">
        <v>7263</v>
      </c>
    </row>
    <row r="7" spans="1:10" x14ac:dyDescent="0.35">
      <c r="A7" s="3" t="s">
        <v>10</v>
      </c>
      <c r="B7" s="3" t="s">
        <v>9</v>
      </c>
      <c r="C7" s="3">
        <v>2021</v>
      </c>
      <c r="D7" s="4">
        <v>71376</v>
      </c>
      <c r="E7" s="4">
        <v>52501</v>
      </c>
      <c r="F7" s="4">
        <v>541</v>
      </c>
      <c r="G7" s="4">
        <v>11946</v>
      </c>
      <c r="H7" s="4">
        <v>18335</v>
      </c>
      <c r="I7" s="4">
        <v>3049</v>
      </c>
      <c r="J7" s="4">
        <v>3047</v>
      </c>
    </row>
    <row r="8" spans="1:10" x14ac:dyDescent="0.35">
      <c r="A8" s="3" t="s">
        <v>10</v>
      </c>
      <c r="B8" s="3" t="s">
        <v>9</v>
      </c>
      <c r="C8" s="3">
        <v>2022</v>
      </c>
      <c r="D8" s="4">
        <v>74656</v>
      </c>
      <c r="E8" s="4">
        <v>55333</v>
      </c>
      <c r="F8" s="4">
        <v>426</v>
      </c>
      <c r="G8" s="4">
        <v>15937</v>
      </c>
      <c r="H8" s="4">
        <v>18896</v>
      </c>
      <c r="I8" s="4">
        <v>3532</v>
      </c>
      <c r="J8" s="4">
        <v>3042</v>
      </c>
    </row>
    <row r="9" spans="1:10" x14ac:dyDescent="0.35">
      <c r="A9" s="3" t="s">
        <v>10</v>
      </c>
      <c r="B9" s="3" t="s">
        <v>9</v>
      </c>
      <c r="C9" s="3">
        <v>2023</v>
      </c>
      <c r="D9" s="4">
        <v>84597</v>
      </c>
      <c r="E9" s="4">
        <v>61791</v>
      </c>
      <c r="F9" s="4">
        <v>1247</v>
      </c>
      <c r="G9" s="4">
        <v>14678</v>
      </c>
      <c r="H9" s="4">
        <v>21558</v>
      </c>
      <c r="I9" s="4">
        <v>4284</v>
      </c>
      <c r="J9" s="4">
        <v>42</v>
      </c>
    </row>
    <row r="10" spans="1:10" x14ac:dyDescent="0.35">
      <c r="A10" s="3" t="s">
        <v>10</v>
      </c>
      <c r="B10" s="3" t="s">
        <v>9</v>
      </c>
      <c r="C10" s="3">
        <v>2024</v>
      </c>
      <c r="D10" s="4">
        <v>115304</v>
      </c>
      <c r="E10" s="4">
        <v>85636</v>
      </c>
      <c r="F10" s="4">
        <v>119</v>
      </c>
      <c r="G10" s="4">
        <v>22408</v>
      </c>
      <c r="H10" s="4">
        <v>29550</v>
      </c>
      <c r="I10" s="4">
        <v>5318</v>
      </c>
      <c r="J10" s="4">
        <v>2827</v>
      </c>
    </row>
    <row r="11" spans="1:10" x14ac:dyDescent="0.35">
      <c r="A11" s="3" t="s">
        <v>10</v>
      </c>
      <c r="B11" s="3" t="s">
        <v>9</v>
      </c>
      <c r="C11" s="3">
        <v>2025</v>
      </c>
      <c r="D11" s="4">
        <v>131971</v>
      </c>
      <c r="E11" s="4">
        <v>96240</v>
      </c>
      <c r="F11" s="4">
        <v>87</v>
      </c>
      <c r="G11" s="4">
        <v>24794</v>
      </c>
      <c r="H11" s="4">
        <v>35644</v>
      </c>
      <c r="I11" s="4">
        <v>6913</v>
      </c>
      <c r="J11" s="4">
        <v>553</v>
      </c>
    </row>
    <row r="12" spans="1:10" x14ac:dyDescent="0.35">
      <c r="A12" s="3" t="s">
        <v>11</v>
      </c>
      <c r="B12" s="3" t="s">
        <v>9</v>
      </c>
      <c r="C12" s="3">
        <v>2021</v>
      </c>
      <c r="D12" s="12">
        <v>164968</v>
      </c>
      <c r="E12" s="12">
        <v>41582</v>
      </c>
      <c r="F12" s="12">
        <v>80625</v>
      </c>
      <c r="G12" s="12">
        <v>106938</v>
      </c>
      <c r="H12" s="12">
        <v>42762</v>
      </c>
      <c r="I12" s="12">
        <v>9615</v>
      </c>
      <c r="J12" s="12">
        <v>12852</v>
      </c>
    </row>
    <row r="13" spans="1:10" x14ac:dyDescent="0.35">
      <c r="A13" s="3" t="s">
        <v>11</v>
      </c>
      <c r="B13" s="3" t="s">
        <v>9</v>
      </c>
      <c r="C13" s="3">
        <v>2022</v>
      </c>
      <c r="D13" s="12">
        <v>172388</v>
      </c>
      <c r="E13" s="12">
        <v>47123</v>
      </c>
      <c r="F13" s="12">
        <v>77605</v>
      </c>
      <c r="G13" s="12">
        <v>109607</v>
      </c>
      <c r="H13" s="12">
        <v>47661</v>
      </c>
      <c r="I13" s="12">
        <v>11596</v>
      </c>
      <c r="J13" s="12">
        <v>11118</v>
      </c>
    </row>
    <row r="14" spans="1:10" x14ac:dyDescent="0.35">
      <c r="A14" s="3" t="s">
        <v>11</v>
      </c>
      <c r="B14" s="3" t="s">
        <v>9</v>
      </c>
      <c r="C14" s="3">
        <v>2023</v>
      </c>
      <c r="D14" s="12">
        <v>204283</v>
      </c>
      <c r="E14" s="12">
        <v>56366</v>
      </c>
      <c r="F14" s="12">
        <v>92647</v>
      </c>
      <c r="G14" s="12">
        <v>137902</v>
      </c>
      <c r="H14" s="12">
        <v>55270</v>
      </c>
      <c r="I14" s="12">
        <v>16855</v>
      </c>
      <c r="J14" s="12">
        <v>11273</v>
      </c>
    </row>
    <row r="15" spans="1:10" x14ac:dyDescent="0.35">
      <c r="A15" s="3" t="s">
        <v>11</v>
      </c>
      <c r="B15" s="3" t="s">
        <v>9</v>
      </c>
      <c r="C15" s="3">
        <v>2024</v>
      </c>
      <c r="D15" s="12">
        <v>234722</v>
      </c>
      <c r="E15" s="12">
        <v>66190</v>
      </c>
      <c r="F15" s="12">
        <v>108647</v>
      </c>
      <c r="G15" s="12">
        <v>163345</v>
      </c>
      <c r="H15" s="12">
        <v>59884</v>
      </c>
      <c r="I15" s="12">
        <v>18590</v>
      </c>
      <c r="J15" s="12">
        <v>12013</v>
      </c>
    </row>
    <row r="16" spans="1:10" x14ac:dyDescent="0.35">
      <c r="A16" s="3" t="s">
        <v>11</v>
      </c>
      <c r="B16" s="3" t="s">
        <v>9</v>
      </c>
      <c r="C16" s="3">
        <v>2025</v>
      </c>
      <c r="D16" s="12">
        <v>276013</v>
      </c>
      <c r="E16" s="12">
        <v>77039</v>
      </c>
      <c r="F16" s="12">
        <v>129025</v>
      </c>
      <c r="G16" s="12">
        <v>191771</v>
      </c>
      <c r="H16" s="12">
        <v>69950</v>
      </c>
      <c r="I16" s="12">
        <v>20331</v>
      </c>
      <c r="J16" s="12">
        <v>20615</v>
      </c>
    </row>
    <row r="17" spans="1:10" x14ac:dyDescent="0.35">
      <c r="A17" s="3" t="s">
        <v>12</v>
      </c>
      <c r="B17" s="3" t="s">
        <v>9</v>
      </c>
      <c r="C17" s="3">
        <v>2021</v>
      </c>
      <c r="D17" s="13">
        <v>33602</v>
      </c>
      <c r="E17" s="13">
        <v>27273</v>
      </c>
      <c r="F17" s="13">
        <v>121</v>
      </c>
      <c r="G17" s="13">
        <v>7232</v>
      </c>
      <c r="H17" s="13">
        <v>6207</v>
      </c>
      <c r="I17" s="13">
        <v>1494</v>
      </c>
      <c r="J17" s="13">
        <v>539</v>
      </c>
    </row>
    <row r="18" spans="1:10" x14ac:dyDescent="0.35">
      <c r="A18" s="3" t="s">
        <v>12</v>
      </c>
      <c r="B18" s="3" t="s">
        <v>9</v>
      </c>
      <c r="C18" s="3">
        <v>2022</v>
      </c>
      <c r="D18" s="13">
        <v>35111</v>
      </c>
      <c r="E18" s="13">
        <v>29859</v>
      </c>
      <c r="F18" s="13">
        <v>123</v>
      </c>
      <c r="G18" s="13">
        <v>6564</v>
      </c>
      <c r="H18" s="13">
        <v>5129</v>
      </c>
      <c r="I18" s="13">
        <v>1231</v>
      </c>
      <c r="J18" s="13">
        <v>958</v>
      </c>
    </row>
    <row r="19" spans="1:10" x14ac:dyDescent="0.35">
      <c r="A19" s="3" t="s">
        <v>12</v>
      </c>
      <c r="B19" s="3" t="s">
        <v>9</v>
      </c>
      <c r="C19" s="3">
        <v>2023</v>
      </c>
      <c r="D19" s="13">
        <v>35136</v>
      </c>
      <c r="E19" s="13">
        <v>29362</v>
      </c>
      <c r="F19" s="13">
        <v>124</v>
      </c>
      <c r="G19" s="13">
        <v>6026</v>
      </c>
      <c r="H19" s="13">
        <v>5651</v>
      </c>
      <c r="I19" s="13">
        <v>1564</v>
      </c>
      <c r="J19" s="13">
        <v>690</v>
      </c>
    </row>
    <row r="20" spans="1:10" x14ac:dyDescent="0.35">
      <c r="A20" s="3" t="s">
        <v>12</v>
      </c>
      <c r="B20" s="3" t="s">
        <v>9</v>
      </c>
      <c r="C20" s="3">
        <v>2024</v>
      </c>
      <c r="D20" s="13">
        <v>39344</v>
      </c>
      <c r="E20" s="13">
        <v>28962</v>
      </c>
      <c r="F20" s="13">
        <v>1912</v>
      </c>
      <c r="G20" s="13">
        <v>8005</v>
      </c>
      <c r="H20" s="13">
        <v>8470</v>
      </c>
      <c r="I20" s="13">
        <v>1689</v>
      </c>
      <c r="J20" s="13">
        <v>955</v>
      </c>
    </row>
    <row r="21" spans="1:10" x14ac:dyDescent="0.35">
      <c r="A21" s="3" t="s">
        <v>12</v>
      </c>
      <c r="B21" s="3" t="s">
        <v>9</v>
      </c>
      <c r="C21" s="3">
        <v>2025</v>
      </c>
      <c r="D21" s="13">
        <v>54110</v>
      </c>
      <c r="E21" s="13">
        <v>35188</v>
      </c>
      <c r="F21" s="13">
        <v>9364</v>
      </c>
      <c r="G21" s="13">
        <v>21459</v>
      </c>
      <c r="H21" s="13">
        <v>9557</v>
      </c>
      <c r="I21" s="13">
        <v>2077</v>
      </c>
      <c r="J21" s="13">
        <v>2848</v>
      </c>
    </row>
    <row r="22" spans="1:10" x14ac:dyDescent="0.35">
      <c r="A22" s="3" t="s">
        <v>13</v>
      </c>
      <c r="B22" s="3" t="s">
        <v>9</v>
      </c>
      <c r="C22" s="3">
        <v>2021</v>
      </c>
      <c r="D22" s="14">
        <v>23096</v>
      </c>
      <c r="E22" s="14">
        <v>15416</v>
      </c>
      <c r="F22" s="14">
        <v>584</v>
      </c>
      <c r="G22" s="14">
        <v>5639</v>
      </c>
      <c r="H22" s="14">
        <v>7096</v>
      </c>
      <c r="I22" s="14">
        <v>1789</v>
      </c>
      <c r="J22" s="14">
        <v>396</v>
      </c>
    </row>
    <row r="23" spans="1:10" x14ac:dyDescent="0.35">
      <c r="A23" s="3" t="s">
        <v>13</v>
      </c>
      <c r="B23" s="3" t="s">
        <v>9</v>
      </c>
      <c r="C23" s="3">
        <v>2022</v>
      </c>
      <c r="D23" s="14">
        <v>22478</v>
      </c>
      <c r="E23" s="14">
        <v>15847</v>
      </c>
      <c r="F23" s="14">
        <v>605</v>
      </c>
      <c r="G23" s="14">
        <v>5240</v>
      </c>
      <c r="H23" s="14">
        <v>6027</v>
      </c>
      <c r="I23" s="14">
        <v>1472</v>
      </c>
      <c r="J23" s="14">
        <v>300</v>
      </c>
    </row>
    <row r="24" spans="1:10" x14ac:dyDescent="0.35">
      <c r="A24" s="3" t="s">
        <v>13</v>
      </c>
      <c r="B24" s="3" t="s">
        <v>9</v>
      </c>
      <c r="C24" s="3">
        <v>2023</v>
      </c>
      <c r="D24" s="14">
        <v>23917</v>
      </c>
      <c r="E24" s="14">
        <v>16656</v>
      </c>
      <c r="F24" s="14">
        <v>568</v>
      </c>
      <c r="G24" s="14">
        <v>6413</v>
      </c>
      <c r="H24" s="14">
        <v>6694</v>
      </c>
      <c r="I24" s="14">
        <v>1756</v>
      </c>
      <c r="J24" s="14">
        <v>423</v>
      </c>
    </row>
    <row r="25" spans="1:10" x14ac:dyDescent="0.35">
      <c r="A25" s="3" t="s">
        <v>13</v>
      </c>
      <c r="B25" s="3" t="s">
        <v>9</v>
      </c>
      <c r="C25" s="3">
        <v>2024</v>
      </c>
      <c r="D25" s="14">
        <v>26153</v>
      </c>
      <c r="E25" s="14">
        <v>17699</v>
      </c>
      <c r="F25" s="14">
        <v>606</v>
      </c>
      <c r="G25" s="14">
        <v>6685</v>
      </c>
      <c r="H25" s="14">
        <v>7847</v>
      </c>
      <c r="I25" s="14">
        <v>1756</v>
      </c>
      <c r="J25" s="14">
        <v>696</v>
      </c>
    </row>
    <row r="26" spans="1:10" x14ac:dyDescent="0.35">
      <c r="A26" s="3" t="s">
        <v>13</v>
      </c>
      <c r="B26" s="3" t="s">
        <v>9</v>
      </c>
      <c r="C26" s="3">
        <v>2025</v>
      </c>
      <c r="D26" s="14">
        <v>28390</v>
      </c>
      <c r="E26" s="14">
        <v>19272</v>
      </c>
      <c r="F26" s="14">
        <v>700</v>
      </c>
      <c r="G26" s="14">
        <v>7236</v>
      </c>
      <c r="H26" s="14">
        <v>8418</v>
      </c>
      <c r="I26" s="14">
        <v>2013</v>
      </c>
      <c r="J26" s="14">
        <v>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6"/>
  <sheetViews>
    <sheetView zoomScale="58" zoomScaleNormal="58" workbookViewId="0">
      <pane ySplit="1" topLeftCell="A2" activePane="bottomLeft" state="frozen"/>
      <selection pane="bottomLeft" activeCell="B32" sqref="B32"/>
    </sheetView>
  </sheetViews>
  <sheetFormatPr defaultRowHeight="14.5" x14ac:dyDescent="0.35"/>
  <cols>
    <col min="1" max="7" width="18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21</v>
      </c>
      <c r="E1" s="2" t="s">
        <v>22</v>
      </c>
      <c r="F1" s="2" t="s">
        <v>23</v>
      </c>
      <c r="G1" s="11" t="s">
        <v>26</v>
      </c>
    </row>
    <row r="2" spans="1:7" x14ac:dyDescent="0.35">
      <c r="A2" s="1" t="s">
        <v>24</v>
      </c>
      <c r="B2" s="3" t="s">
        <v>9</v>
      </c>
      <c r="C2" s="3">
        <v>2021</v>
      </c>
      <c r="D2" s="6">
        <v>-1065</v>
      </c>
      <c r="E2" s="6">
        <v>-973</v>
      </c>
      <c r="F2" s="6">
        <v>1331</v>
      </c>
      <c r="G2" s="6">
        <v>726</v>
      </c>
    </row>
    <row r="3" spans="1:7" x14ac:dyDescent="0.35">
      <c r="A3" s="1" t="s">
        <v>24</v>
      </c>
      <c r="B3" s="3" t="s">
        <v>9</v>
      </c>
      <c r="C3" s="3">
        <v>2022</v>
      </c>
      <c r="D3" s="10">
        <v>2845</v>
      </c>
      <c r="E3" s="10">
        <v>-1917</v>
      </c>
      <c r="F3" s="10">
        <v>-378</v>
      </c>
      <c r="G3" s="10">
        <v>402</v>
      </c>
    </row>
    <row r="4" spans="1:7" x14ac:dyDescent="0.35">
      <c r="A4" s="1" t="s">
        <v>24</v>
      </c>
      <c r="B4" s="3" t="s">
        <v>9</v>
      </c>
      <c r="C4" s="3">
        <v>2023</v>
      </c>
      <c r="D4" s="10">
        <v>-4499</v>
      </c>
      <c r="E4" s="10">
        <v>-2904</v>
      </c>
      <c r="F4" s="10">
        <v>7281</v>
      </c>
      <c r="G4" s="10">
        <v>854</v>
      </c>
    </row>
    <row r="5" spans="1:7" x14ac:dyDescent="0.35">
      <c r="A5" s="1" t="s">
        <v>24</v>
      </c>
      <c r="B5" s="3" t="s">
        <v>9</v>
      </c>
      <c r="C5" s="3">
        <v>2024</v>
      </c>
      <c r="D5" s="10">
        <v>-6258</v>
      </c>
      <c r="E5" s="10">
        <v>1135</v>
      </c>
      <c r="F5" s="10">
        <v>8432</v>
      </c>
      <c r="G5" s="10">
        <v>1088</v>
      </c>
    </row>
    <row r="6" spans="1:7" x14ac:dyDescent="0.35">
      <c r="A6" s="1" t="s">
        <v>24</v>
      </c>
      <c r="B6" s="3" t="s">
        <v>9</v>
      </c>
      <c r="C6" s="3">
        <v>2025</v>
      </c>
      <c r="D6" s="10">
        <v>128</v>
      </c>
      <c r="E6" s="10">
        <v>-5759</v>
      </c>
      <c r="F6" s="10">
        <v>6958</v>
      </c>
      <c r="G6" s="10">
        <v>1599</v>
      </c>
    </row>
    <row r="7" spans="1:7" x14ac:dyDescent="0.35">
      <c r="A7" s="3" t="s">
        <v>10</v>
      </c>
      <c r="B7" s="3" t="s">
        <v>9</v>
      </c>
      <c r="C7" s="3">
        <v>2021</v>
      </c>
      <c r="D7" s="4">
        <v>8856</v>
      </c>
      <c r="E7" s="4">
        <v>-7291</v>
      </c>
      <c r="F7" s="4">
        <v>-1545</v>
      </c>
      <c r="G7" s="4">
        <v>2328</v>
      </c>
    </row>
    <row r="8" spans="1:7" x14ac:dyDescent="0.35">
      <c r="A8" s="3" t="s">
        <v>10</v>
      </c>
      <c r="B8" s="3" t="s">
        <v>9</v>
      </c>
      <c r="C8" s="3">
        <v>2022</v>
      </c>
      <c r="D8" s="4">
        <v>1840</v>
      </c>
      <c r="E8" s="4">
        <v>-239</v>
      </c>
      <c r="F8" s="4">
        <v>-1607</v>
      </c>
      <c r="G8" s="4">
        <v>3323</v>
      </c>
    </row>
    <row r="9" spans="1:7" x14ac:dyDescent="0.35">
      <c r="A9" s="3" t="s">
        <v>10</v>
      </c>
      <c r="B9" s="3" t="s">
        <v>9</v>
      </c>
      <c r="C9" s="3">
        <v>2023</v>
      </c>
      <c r="D9" s="4">
        <v>9251</v>
      </c>
      <c r="E9" s="4">
        <v>-8036</v>
      </c>
      <c r="F9" s="4">
        <v>-1213</v>
      </c>
      <c r="G9" s="4">
        <v>6247</v>
      </c>
    </row>
    <row r="10" spans="1:7" x14ac:dyDescent="0.35">
      <c r="A10" s="3" t="s">
        <v>10</v>
      </c>
      <c r="B10" s="3" t="s">
        <v>9</v>
      </c>
      <c r="C10" s="3">
        <v>2024</v>
      </c>
      <c r="D10" s="4">
        <v>16801</v>
      </c>
      <c r="E10" s="4">
        <v>-11865</v>
      </c>
      <c r="F10" s="4">
        <v>-4062</v>
      </c>
      <c r="G10" s="4">
        <v>9155</v>
      </c>
    </row>
    <row r="11" spans="1:7" x14ac:dyDescent="0.35">
      <c r="A11" s="3" t="s">
        <v>10</v>
      </c>
      <c r="B11" s="3" t="s">
        <v>9</v>
      </c>
      <c r="C11" s="3">
        <v>2025</v>
      </c>
      <c r="D11" s="4">
        <v>16136</v>
      </c>
      <c r="E11" s="4">
        <v>-14456</v>
      </c>
      <c r="F11" s="4">
        <v>-4155</v>
      </c>
      <c r="G11" s="4">
        <v>10603</v>
      </c>
    </row>
    <row r="12" spans="1:7" x14ac:dyDescent="0.35">
      <c r="A12" s="3" t="s">
        <v>11</v>
      </c>
      <c r="B12" s="3" t="s">
        <v>9</v>
      </c>
      <c r="C12" s="3">
        <v>2021</v>
      </c>
      <c r="D12" s="12">
        <v>17909</v>
      </c>
      <c r="E12" s="12">
        <v>-19686</v>
      </c>
      <c r="F12" s="12">
        <v>406</v>
      </c>
      <c r="G12" s="12">
        <v>4626</v>
      </c>
    </row>
    <row r="13" spans="1:7" x14ac:dyDescent="0.35">
      <c r="A13" s="3" t="s">
        <v>11</v>
      </c>
      <c r="B13" s="3" t="s">
        <v>9</v>
      </c>
      <c r="C13" s="3">
        <v>2022</v>
      </c>
      <c r="D13" s="12">
        <v>9248</v>
      </c>
      <c r="E13" s="12">
        <v>-3252</v>
      </c>
      <c r="F13" s="12">
        <v>-5883</v>
      </c>
      <c r="G13" s="12">
        <v>5920</v>
      </c>
    </row>
    <row r="14" spans="1:7" x14ac:dyDescent="0.35">
      <c r="A14" s="3" t="s">
        <v>11</v>
      </c>
      <c r="B14" s="3" t="s">
        <v>9</v>
      </c>
      <c r="C14" s="3">
        <v>2023</v>
      </c>
      <c r="D14" s="12">
        <v>-7074</v>
      </c>
      <c r="E14" s="12">
        <v>-8866</v>
      </c>
      <c r="F14" s="12">
        <v>15946</v>
      </c>
      <c r="G14" s="12">
        <v>6167</v>
      </c>
    </row>
    <row r="15" spans="1:7" x14ac:dyDescent="0.35">
      <c r="A15" s="3" t="s">
        <v>11</v>
      </c>
      <c r="B15" s="3" t="s">
        <v>9</v>
      </c>
      <c r="C15" s="3">
        <v>2024</v>
      </c>
      <c r="D15" s="12">
        <v>-5630</v>
      </c>
      <c r="E15" s="12">
        <v>-5615</v>
      </c>
      <c r="F15" s="12">
        <v>12281</v>
      </c>
      <c r="G15" s="12">
        <v>9673</v>
      </c>
    </row>
    <row r="16" spans="1:7" x14ac:dyDescent="0.35">
      <c r="A16" s="3" t="s">
        <v>11</v>
      </c>
      <c r="B16" s="3" t="s">
        <v>9</v>
      </c>
      <c r="C16" s="3">
        <v>2025</v>
      </c>
      <c r="D16" s="12">
        <v>3176</v>
      </c>
      <c r="E16" s="15">
        <v>-18616</v>
      </c>
      <c r="F16" s="12">
        <v>15834</v>
      </c>
      <c r="G16" s="12">
        <v>9809</v>
      </c>
    </row>
    <row r="17" spans="1:7" x14ac:dyDescent="0.35">
      <c r="A17" s="3" t="s">
        <v>12</v>
      </c>
      <c r="B17" s="3" t="s">
        <v>9</v>
      </c>
      <c r="C17" s="3">
        <v>2021</v>
      </c>
      <c r="D17" s="13">
        <v>3120</v>
      </c>
      <c r="E17" s="13">
        <v>-2869</v>
      </c>
      <c r="F17" s="13">
        <v>-20</v>
      </c>
      <c r="G17" s="13">
        <v>254</v>
      </c>
    </row>
    <row r="18" spans="1:7" x14ac:dyDescent="0.35">
      <c r="A18" s="3" t="s">
        <v>12</v>
      </c>
      <c r="B18" s="3" t="s">
        <v>9</v>
      </c>
      <c r="C18" s="3">
        <v>2022</v>
      </c>
      <c r="D18" s="13">
        <v>4197</v>
      </c>
      <c r="E18" s="13">
        <v>276</v>
      </c>
      <c r="F18" s="13">
        <v>-4056</v>
      </c>
      <c r="G18" s="13">
        <v>517</v>
      </c>
    </row>
    <row r="19" spans="1:7" x14ac:dyDescent="0.35">
      <c r="A19" s="3" t="s">
        <v>12</v>
      </c>
      <c r="B19" s="3" t="s">
        <v>9</v>
      </c>
      <c r="C19" s="3">
        <v>2023</v>
      </c>
      <c r="D19" s="13">
        <v>5277</v>
      </c>
      <c r="E19" s="13">
        <v>1211</v>
      </c>
      <c r="F19" s="13">
        <v>-7181</v>
      </c>
      <c r="G19" s="13">
        <v>973</v>
      </c>
    </row>
    <row r="20" spans="1:7" x14ac:dyDescent="0.35">
      <c r="A20" s="3" t="s">
        <v>12</v>
      </c>
      <c r="B20" s="3" t="s">
        <v>9</v>
      </c>
      <c r="C20" s="3">
        <v>2024</v>
      </c>
      <c r="D20" s="13">
        <v>6558</v>
      </c>
      <c r="E20" s="13">
        <v>-72</v>
      </c>
      <c r="F20" s="13">
        <v>-6167</v>
      </c>
      <c r="G20" s="13">
        <v>711</v>
      </c>
    </row>
    <row r="21" spans="1:7" x14ac:dyDescent="0.35">
      <c r="A21" s="3" t="s">
        <v>12</v>
      </c>
      <c r="B21" s="3" t="s">
        <v>9</v>
      </c>
      <c r="C21" s="3">
        <v>2025</v>
      </c>
      <c r="D21" s="13">
        <v>-1406</v>
      </c>
      <c r="E21" s="13">
        <v>-1053</v>
      </c>
      <c r="F21" s="13">
        <v>4230</v>
      </c>
      <c r="G21" s="13">
        <v>867</v>
      </c>
    </row>
    <row r="22" spans="1:7" x14ac:dyDescent="0.35">
      <c r="A22" s="3" t="s">
        <v>13</v>
      </c>
      <c r="B22" s="3" t="s">
        <v>9</v>
      </c>
      <c r="C22" s="3">
        <v>2021</v>
      </c>
      <c r="D22" s="14">
        <v>4110</v>
      </c>
      <c r="E22" s="14">
        <v>-2289</v>
      </c>
      <c r="F22" s="14">
        <v>-1852</v>
      </c>
      <c r="G22" s="14">
        <v>573</v>
      </c>
    </row>
    <row r="23" spans="1:7" x14ac:dyDescent="0.35">
      <c r="A23" s="3" t="s">
        <v>13</v>
      </c>
      <c r="B23" s="3" t="s">
        <v>9</v>
      </c>
      <c r="C23" s="3">
        <v>2022</v>
      </c>
      <c r="D23" s="14">
        <v>2104</v>
      </c>
      <c r="E23" s="14">
        <v>-222</v>
      </c>
      <c r="F23" s="14">
        <v>-1975</v>
      </c>
      <c r="G23" s="14">
        <v>559</v>
      </c>
    </row>
    <row r="24" spans="1:7" x14ac:dyDescent="0.35">
      <c r="A24" s="3" t="s">
        <v>13</v>
      </c>
      <c r="B24" s="3" t="s">
        <v>9</v>
      </c>
      <c r="C24" s="3">
        <v>2023</v>
      </c>
      <c r="D24" s="14">
        <v>2614</v>
      </c>
      <c r="E24" s="14">
        <v>-421</v>
      </c>
      <c r="F24" s="14">
        <v>-2147</v>
      </c>
      <c r="G24" s="14">
        <v>562</v>
      </c>
    </row>
    <row r="25" spans="1:7" x14ac:dyDescent="0.35">
      <c r="A25" s="3" t="s">
        <v>13</v>
      </c>
      <c r="B25" s="3" t="s">
        <v>9</v>
      </c>
      <c r="C25" s="3">
        <v>2024</v>
      </c>
      <c r="D25" s="14">
        <v>4923</v>
      </c>
      <c r="E25" s="14">
        <v>-1828</v>
      </c>
      <c r="F25" s="14">
        <v>-2717</v>
      </c>
      <c r="G25" s="14">
        <v>777</v>
      </c>
    </row>
    <row r="26" spans="1:7" x14ac:dyDescent="0.35">
      <c r="A26" s="3" t="s">
        <v>13</v>
      </c>
      <c r="B26" s="3" t="s">
        <v>9</v>
      </c>
      <c r="C26" s="3">
        <v>2025</v>
      </c>
      <c r="D26" s="14">
        <v>4297</v>
      </c>
      <c r="E26" s="14">
        <v>-1703</v>
      </c>
      <c r="F26" s="14">
        <v>-2815</v>
      </c>
      <c r="G26" s="14">
        <v>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Income_Statement</vt:lpstr>
      <vt:lpstr>Balance_Sheet</vt:lpstr>
      <vt:lpstr>Cash_Flow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Nidhi Vemula</cp:lastModifiedBy>
  <dcterms:created xsi:type="dcterms:W3CDTF">2026-07-18T11:37:23Z</dcterms:created>
  <dcterms:modified xsi:type="dcterms:W3CDTF">2026-07-31T06:03:36Z</dcterms:modified>
</cp:coreProperties>
</file>